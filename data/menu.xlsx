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eejonghoo/Downloads/"/>
    </mc:Choice>
  </mc:AlternateContent>
  <xr:revisionPtr revIDLastSave="0" documentId="13_ncr:1_{F1350A6B-8150-C34E-8FFB-1D33FC92E8C5}" xr6:coauthVersionLast="47" xr6:coauthVersionMax="47" xr10:uidLastSave="{00000000-0000-0000-0000-000000000000}"/>
  <bookViews>
    <workbookView xWindow="4420" yWindow="660" windowWidth="23260" windowHeight="12460" tabRatio="500" xr2:uid="{00000000-000D-0000-FFFF-FFFF00000000}"/>
  </bookViews>
  <sheets>
    <sheet name="용산 인근 50개 식당 메뉴 분석" sheetId="1" r:id="rId1"/>
  </sheets>
  <definedNames>
    <definedName name="_xlnm._FilterDatabase" localSheetId="0" hidden="1">'용산 인근 50개 식당 메뉴 분석'!$A$3:$O$130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1" i="1" l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</calcChain>
</file>

<file path=xl/sharedStrings.xml><?xml version="1.0" encoding="utf-8"?>
<sst xmlns="http://schemas.openxmlformats.org/spreadsheetml/2006/main" count="1169" uniqueCount="266">
  <si>
    <t>🏢 삼일회계법인(LS용산타워·아모레퍼시픽본사) 인근 50개 식당 메뉴별 상세 정보 (검증·수정본)</t>
  </si>
  <si>
    <t>검증상태: 확인=검색으로 확인 / 부분확인=타 지점·단일 출처 / 미확인=원본 값 유지. 영양값은 모두 추정치이며 공식값 표기는 원본 그대로입니다. / 하늘색 셀=영양값 재추정·수정(변경내역 시트 참조).</t>
  </si>
  <si>
    <t>구역</t>
  </si>
  <si>
    <t>식당명</t>
  </si>
  <si>
    <t>메뉴명</t>
  </si>
  <si>
    <t>가격(원)</t>
  </si>
  <si>
    <t>칼로리(kcal)</t>
  </si>
  <si>
    <t>칼로리 출처</t>
  </si>
  <si>
    <t>점심 영업</t>
  </si>
  <si>
    <t>저녁 영업</t>
  </si>
  <si>
    <t>심야 영업</t>
  </si>
  <si>
    <t>탄수화물(g)</t>
  </si>
  <si>
    <t>단백질(g)</t>
  </si>
  <si>
    <t>지방(g)</t>
  </si>
  <si>
    <t>비고</t>
  </si>
  <si>
    <t>검증상태</t>
  </si>
  <si>
    <t>환산 kcal(탄·단·지)</t>
  </si>
  <si>
    <t>LS용산타워 B1</t>
  </si>
  <si>
    <t>고씨네플러스</t>
  </si>
  <si>
    <t>치킨카레세트</t>
  </si>
  <si>
    <t>추정치</t>
  </si>
  <si>
    <t>O</t>
  </si>
  <si>
    <t>X</t>
  </si>
  <si>
    <t>일요일 휴무</t>
  </si>
  <si>
    <t>확인</t>
  </si>
  <si>
    <t>돈까스카레</t>
  </si>
  <si>
    <t>버섯카레세트</t>
  </si>
  <si>
    <t>육대장</t>
  </si>
  <si>
    <t>옛날전통육개장</t>
  </si>
  <si>
    <t>일요일 휴무 / 가격은 서울역점 기준</t>
  </si>
  <si>
    <t>생육칼면</t>
  </si>
  <si>
    <t>부대육개장</t>
  </si>
  <si>
    <t>아워홈 구내식당</t>
  </si>
  <si>
    <t>중식 (일일 변경 메뉴)</t>
  </si>
  <si>
    <t>외부인 점심만, 평일만</t>
  </si>
  <si>
    <t>버거킹 국제점</t>
  </si>
  <si>
    <t>와퍼 세트</t>
  </si>
  <si>
    <t>공식값</t>
  </si>
  <si>
    <t>통새우와퍼 세트</t>
  </si>
  <si>
    <t>치킨킹 세트</t>
  </si>
  <si>
    <t>K콜라보김밥</t>
  </si>
  <si>
    <t>콜라보김밥</t>
  </si>
  <si>
    <t>평일 10:30~21:00</t>
  </si>
  <si>
    <t>라볶이</t>
  </si>
  <si>
    <t>참치김밥</t>
  </si>
  <si>
    <t>매반생면</t>
  </si>
  <si>
    <t>얼큰수제비</t>
  </si>
  <si>
    <t>인기 메뉴</t>
  </si>
  <si>
    <t>낙지덮밥</t>
  </si>
  <si>
    <t>등심돈까스</t>
  </si>
  <si>
    <t>갓포미르</t>
  </si>
  <si>
    <t>런치 오마카세</t>
  </si>
  <si>
    <t>예약 권장</t>
  </si>
  <si>
    <t>모듬초밥 정식</t>
  </si>
  <si>
    <t>LS용산타워</t>
  </si>
  <si>
    <t>까미노 델 칸투스</t>
  </si>
  <si>
    <t>하우스 파스타</t>
  </si>
  <si>
    <t>주말 휴무 확인</t>
  </si>
  <si>
    <t>고르곤졸라 피자</t>
  </si>
  <si>
    <t>파리바게뜨 신용산LS점</t>
  </si>
  <si>
    <t>치킨샐러드랩</t>
  </si>
  <si>
    <t>간편식</t>
  </si>
  <si>
    <t>통밀샌드위치</t>
  </si>
  <si>
    <t>AP본사 B1</t>
  </si>
  <si>
    <t>신류</t>
  </si>
  <si>
    <t>신류 짜장면</t>
  </si>
  <si>
    <t>브레이크타임 15~17시</t>
  </si>
  <si>
    <t>짬뽕</t>
  </si>
  <si>
    <t>삼선볶음밥</t>
  </si>
  <si>
    <t>고청담</t>
  </si>
  <si>
    <t>스테이크 솥밥 (런치)</t>
  </si>
  <si>
    <t>고급 다이닝 / 런치 메뉴(14시까지 주문)</t>
  </si>
  <si>
    <t>한우육회 비빔밥 (런치)</t>
  </si>
  <si>
    <t>진작다이닝</t>
  </si>
  <si>
    <t>카이센동</t>
  </si>
  <si>
    <t>인기 맛집</t>
  </si>
  <si>
    <t>소갈비살동</t>
  </si>
  <si>
    <t>관자버터파스타</t>
  </si>
  <si>
    <t>오제제</t>
  </si>
  <si>
    <t>안심 돈카츠</t>
  </si>
  <si>
    <t>브레이크 15:30~17:30</t>
  </si>
  <si>
    <t>등심 돈카츠</t>
  </si>
  <si>
    <t>말차 자루우동</t>
  </si>
  <si>
    <t>왓어샐러드</t>
  </si>
  <si>
    <t>시그니처 샐러드</t>
  </si>
  <si>
    <t>헬스/다이어트</t>
  </si>
  <si>
    <t>아보카도 치킨 샐러드</t>
  </si>
  <si>
    <t>뭍</t>
  </si>
  <si>
    <t>에그마요 샌드위치</t>
  </si>
  <si>
    <t>샌드위치</t>
  </si>
  <si>
    <t>잠봉뵈르 샌드위치</t>
  </si>
  <si>
    <t>인근 아스테리움 B1</t>
  </si>
  <si>
    <t>포베이</t>
  </si>
  <si>
    <t>양지차돌쌀국수</t>
  </si>
  <si>
    <t>베트남 요리</t>
  </si>
  <si>
    <t>해물 쌀국수</t>
  </si>
  <si>
    <t>파인애플 볶음밥</t>
  </si>
  <si>
    <t>인근 용리단길</t>
  </si>
  <si>
    <t>소금제면소</t>
  </si>
  <si>
    <t>유즈시오(소금)라멘</t>
  </si>
  <si>
    <t>라멘 맛집</t>
  </si>
  <si>
    <t>유즈츠케멘(중)</t>
  </si>
  <si>
    <t>현선이네 용산본점</t>
  </si>
  <si>
    <t>떡볶이 (순한맛/매운맛)</t>
  </si>
  <si>
    <t>심야 영업 가능</t>
  </si>
  <si>
    <t>즉석떡볶이 (1인)</t>
  </si>
  <si>
    <t>베이비세트</t>
  </si>
  <si>
    <t>효뜨</t>
  </si>
  <si>
    <t>소고기 쌀국수</t>
  </si>
  <si>
    <t>베트남 현지 스타일</t>
  </si>
  <si>
    <t>효뜨 돼지고기 덮밥</t>
  </si>
  <si>
    <t>효뜨 볶음밥</t>
  </si>
  <si>
    <t>인근</t>
  </si>
  <si>
    <t>백옥 용산</t>
  </si>
  <si>
    <t>돼지곰탕 (보통)</t>
  </si>
  <si>
    <t>곰탕 전문</t>
  </si>
  <si>
    <t>돼지곰탕 (특)</t>
  </si>
  <si>
    <t>미미옥 신용산점</t>
  </si>
  <si>
    <t>아롱사태 쌀국수</t>
  </si>
  <si>
    <t>쌀국수 전문</t>
  </si>
  <si>
    <t>매콤 꼬막 비빔 쌀국수</t>
  </si>
  <si>
    <t>스시우미 용산</t>
  </si>
  <si>
    <t>스시 오마카세</t>
  </si>
  <si>
    <t>심퍼티쿠시 용산점</t>
  </si>
  <si>
    <t>차돌 고사리 파스타</t>
  </si>
  <si>
    <t>와인바/다이닝</t>
  </si>
  <si>
    <t>레드커리 닭다리살 스테이크</t>
  </si>
  <si>
    <t>쌤쌤쌤</t>
  </si>
  <si>
    <t>갑오징어 먹물 리조또</t>
  </si>
  <si>
    <t>미국 남부식 요리</t>
  </si>
  <si>
    <t>캘리포니아 ST 라자냐</t>
  </si>
  <si>
    <t>잠봉뵈르 파스타</t>
  </si>
  <si>
    <t>꺼거</t>
  </si>
  <si>
    <t>토마토 탕면</t>
  </si>
  <si>
    <t>중국 홍콩식 / 토마토 탕면은 런치 메뉴</t>
  </si>
  <si>
    <t>깨장 치킨 미엔</t>
  </si>
  <si>
    <t>중국 홍콩식</t>
  </si>
  <si>
    <t>금금</t>
  </si>
  <si>
    <t>들기름 통밀 국수</t>
  </si>
  <si>
    <t>한식 퓨전</t>
  </si>
  <si>
    <t>문어간장비빔밥</t>
  </si>
  <si>
    <t>소갈비덮밥</t>
  </si>
  <si>
    <t>도토리</t>
  </si>
  <si>
    <t>시그니처 브런치 플래터</t>
  </si>
  <si>
    <t>브런치/요거트</t>
  </si>
  <si>
    <t>베베베 (B.B.B)</t>
  </si>
  <si>
    <t>통 소시지 베이글 샌드위치</t>
  </si>
  <si>
    <t>베이글 전문</t>
  </si>
  <si>
    <t>잠봉 베이글</t>
  </si>
  <si>
    <t>꺼구잽이 초장집 용산점</t>
  </si>
  <si>
    <t>해물라면</t>
  </si>
  <si>
    <t>해산물/심야</t>
  </si>
  <si>
    <t>쌍미곱창 용산점</t>
  </si>
  <si>
    <t>들기름 한우육회비빔밥</t>
  </si>
  <si>
    <t>곱창/국밥</t>
  </si>
  <si>
    <t>곱창국밥</t>
  </si>
  <si>
    <t>곱창/구이</t>
  </si>
  <si>
    <t>느루</t>
  </si>
  <si>
    <t>푸다네스카파스타(스파케티생면)</t>
  </si>
  <si>
    <t>이탈리안</t>
  </si>
  <si>
    <t>알리올리오(딸리올리니생면)</t>
  </si>
  <si>
    <t>포케올데이 용산</t>
  </si>
  <si>
    <t>육회 포케</t>
  </si>
  <si>
    <t>샐러드/다이어트</t>
  </si>
  <si>
    <t>닭가슴살 포케</t>
  </si>
  <si>
    <t>크리스피프레시</t>
  </si>
  <si>
    <t>크리스피 치킨 브런치</t>
  </si>
  <si>
    <t>그린푸드</t>
  </si>
  <si>
    <t>아보카도슈림프볼</t>
  </si>
  <si>
    <t>LS타워·아모레</t>
  </si>
  <si>
    <t>스타벅스 신용산역점</t>
  </si>
  <si>
    <t>크랜베리 치킨 샌드위치</t>
  </si>
  <si>
    <t>카페/샌드위치</t>
  </si>
  <si>
    <t>미트 칠리 핫도그</t>
  </si>
  <si>
    <t>포비 아모레점</t>
  </si>
  <si>
    <t>아보카도 에그 오픈 샌드위치</t>
  </si>
  <si>
    <t>베이커리/샐러드</t>
  </si>
  <si>
    <t>베이커리/브런치</t>
  </si>
  <si>
    <t>써브웨이 신용산점</t>
  </si>
  <si>
    <t>로스트 치킨 15cm</t>
  </si>
  <si>
    <t>쉬림프 15cm</t>
  </si>
  <si>
    <t>용산 아이파크몰</t>
  </si>
  <si>
    <t>본죽&amp;비빔밥</t>
  </si>
  <si>
    <t>본죽장조림버터비빔밥</t>
  </si>
  <si>
    <t>한식</t>
  </si>
  <si>
    <t>쇠고기야채죽</t>
  </si>
  <si>
    <t>죽/한식</t>
  </si>
  <si>
    <t>남도분식</t>
  </si>
  <si>
    <t>빨콩떡볶이</t>
  </si>
  <si>
    <t>분식</t>
  </si>
  <si>
    <t>짜장 떡볶이</t>
  </si>
  <si>
    <t>토끼정</t>
  </si>
  <si>
    <t>철판 함박 스테이크</t>
  </si>
  <si>
    <t>일식 가정식</t>
  </si>
  <si>
    <t>토끼정 카레우동</t>
  </si>
  <si>
    <t>낙원테산도</t>
  </si>
  <si>
    <t>로스산도</t>
  </si>
  <si>
    <t>덮밥</t>
  </si>
  <si>
    <t>나폴리탄파스타</t>
  </si>
  <si>
    <t>한강로동</t>
  </si>
  <si>
    <t>명동칼국수 용산점</t>
  </si>
  <si>
    <t>칼국수</t>
  </si>
  <si>
    <t>칼국수/만두</t>
  </si>
  <si>
    <t>만두국</t>
  </si>
  <si>
    <t>산씽</t>
  </si>
  <si>
    <t>우육면</t>
  </si>
  <si>
    <t>국수/보쌈</t>
  </si>
  <si>
    <t>마장면</t>
  </si>
  <si>
    <t>AP본사 1층</t>
  </si>
  <si>
    <t>오설록 티하우스 1979점</t>
  </si>
  <si>
    <t>시그니처 떡 세트</t>
  </si>
  <si>
    <t>카페</t>
  </si>
  <si>
    <t>더닝 용산</t>
  </si>
  <si>
    <t>초코바나나케이크(조각)</t>
  </si>
  <si>
    <t>베이커리</t>
  </si>
  <si>
    <t>바스버거 신용산점</t>
  </si>
  <si>
    <t>클래식 치즈버거</t>
  </si>
  <si>
    <t>수제버거</t>
  </si>
  <si>
    <t>베이컨 더블 버거</t>
  </si>
  <si>
    <t>호보갈비 용산본점</t>
  </si>
  <si>
    <t>순두부철판구이</t>
  </si>
  <si>
    <t>샐러디</t>
  </si>
  <si>
    <t>클래식 치킨 샌드위치</t>
  </si>
  <si>
    <t>건강식</t>
  </si>
  <si>
    <t>국밥대장 신용산점</t>
  </si>
  <si>
    <t>돼지국밥</t>
  </si>
  <si>
    <t>국밥</t>
  </si>
  <si>
    <t>소고기국밥</t>
  </si>
  <si>
    <t>제육볶음</t>
  </si>
  <si>
    <t>돼지곰탕</t>
  </si>
  <si>
    <t>인근 아스테리움</t>
  </si>
  <si>
    <t>CU 신용산아스테리움점</t>
  </si>
  <si>
    <t>든든한끼)참치마요덮밥</t>
  </si>
  <si>
    <t>공식</t>
  </si>
  <si>
    <t>식사</t>
  </si>
  <si>
    <t>간장불백김치제육더블</t>
  </si>
  <si>
    <t>햄치즈토마토샌드</t>
  </si>
  <si>
    <t>다이어트용</t>
  </si>
  <si>
    <t>한일)마라납작면볶이</t>
  </si>
  <si>
    <t>저당로제떡볶이</t>
  </si>
  <si>
    <t>세븐일레븐 아모레퍼시픽점</t>
  </si>
  <si>
    <t>한도초과)아삭아삭햄야채샌드</t>
  </si>
  <si>
    <t>킹듬뿍참치김밥</t>
  </si>
  <si>
    <t>김치쏭쏭칼국수</t>
  </si>
  <si>
    <t>간식</t>
  </si>
  <si>
    <t>우삼겹규동</t>
  </si>
  <si>
    <t>한도초과)통살치킨버거</t>
  </si>
  <si>
    <t>스팸마요계란김밥</t>
  </si>
  <si>
    <t>GS25 용산LS타워점</t>
  </si>
  <si>
    <t>혜자)정성가득제육&amp;치킨</t>
  </si>
  <si>
    <t>순살닭강정(마늘간장)</t>
  </si>
  <si>
    <t>NEW통닭다리살치킨버거</t>
  </si>
  <si>
    <t>BIG 블랙페퍼 닭가슴살 샐러드</t>
  </si>
  <si>
    <t>고단백)계란명란마요김밥</t>
  </si>
  <si>
    <t>케이준치킨 샌드위치</t>
  </si>
  <si>
    <t>불고기타코 샌드위치</t>
  </si>
  <si>
    <t>카레당면</t>
  </si>
  <si>
    <t>슬로우캘리 신용산점</t>
  </si>
  <si>
    <t>연어 포케 (메밀면&amp;샐러드)</t>
  </si>
  <si>
    <t>평일 20:30 라스트오더</t>
  </si>
  <si>
    <t>블랙페퍼 치킨 보울 (현미밥&amp;샐러드)</t>
  </si>
  <si>
    <t>부채살 스테이크 보울 (현미밥&amp;샐러드)</t>
  </si>
  <si>
    <t>탄단지데이 샐러드</t>
  </si>
  <si>
    <t>비프&amp;치킨 더블프로틴 보울 (현미밥&amp;샐러드)</t>
  </si>
  <si>
    <t>니모메 신용산점</t>
    <phoneticPr fontId="7" type="noConversion"/>
  </si>
  <si>
    <t>니모메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</si>
</sst>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"/>
    </font>
    <font>
      <b/>
      <sz val="16"/>
      <color rgb="FF1F4E78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sz val="10"/>
      <name val="Malgun Gothic"/>
      <family val="3"/>
      <charset val="129"/>
    </font>
    <font>
      <sz val="10"/>
      <name val="Noto Sans CJK SC"/>
      <family val="2"/>
      <charset val="1"/>
    </font>
    <font>
      <sz val="10"/>
      <name val="Noto Sans CJK SC"/>
      <family val="3"/>
      <charset val="129"/>
    </font>
    <font>
      <sz val="8"/>
      <name val="나눔고딕OTF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9FAFB"/>
        <bgColor rgb="FFFFFFFF"/>
      </patternFill>
    </fill>
    <fill>
      <patternFill patternType="solid">
        <fgColor theme="0"/>
        <bgColor rgb="FFF9FAFB"/>
      </patternFill>
    </fill>
    <fill>
      <patternFill patternType="solid">
        <fgColor rgb="FFE2F0D9"/>
        <bgColor rgb="FFF9FA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1">
    <dxf>
      <font>
        <b/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"/>
  <sheetViews>
    <sheetView tabSelected="1" zoomScaleNormal="100" workbookViewId="0">
      <pane xSplit="3" ySplit="3" topLeftCell="D118" activePane="bottomRight" state="frozen"/>
      <selection pane="topRight" activeCell="D1" sqref="D1"/>
      <selection pane="bottomLeft" activeCell="A4" sqref="A4"/>
      <selection pane="bottomRight" activeCell="C128" sqref="C128"/>
    </sheetView>
  </sheetViews>
  <sheetFormatPr baseColWidth="10" defaultColWidth="8.5" defaultRowHeight="17"/>
  <cols>
    <col min="1" max="1" width="18" customWidth="1"/>
    <col min="2" max="2" width="24" customWidth="1"/>
    <col min="3" max="3" width="28" customWidth="1"/>
    <col min="4" max="12" width="12" customWidth="1"/>
    <col min="13" max="13" width="34" customWidth="1"/>
    <col min="14" max="14" width="11" customWidth="1"/>
    <col min="15" max="15" width="16" customWidth="1"/>
  </cols>
  <sheetData>
    <row r="1" spans="1:15" ht="34.5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>
      <c r="A2" s="1" t="s">
        <v>1</v>
      </c>
    </row>
    <row r="3" spans="1:15" ht="24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spans="1:15" ht="19.5" customHeight="1">
      <c r="A4" s="3" t="s">
        <v>17</v>
      </c>
      <c r="B4" s="4" t="s">
        <v>18</v>
      </c>
      <c r="C4" s="5" t="s">
        <v>19</v>
      </c>
      <c r="D4" s="6">
        <v>13000</v>
      </c>
      <c r="E4" s="6">
        <v>750</v>
      </c>
      <c r="F4" s="7" t="s">
        <v>20</v>
      </c>
      <c r="G4" s="8" t="s">
        <v>21</v>
      </c>
      <c r="H4" s="8" t="s">
        <v>21</v>
      </c>
      <c r="I4" s="8" t="s">
        <v>22</v>
      </c>
      <c r="J4" s="6">
        <v>90</v>
      </c>
      <c r="K4" s="6">
        <v>30</v>
      </c>
      <c r="L4" s="6">
        <v>30</v>
      </c>
      <c r="M4" s="9" t="s">
        <v>23</v>
      </c>
      <c r="N4" s="10" t="s">
        <v>24</v>
      </c>
      <c r="O4" s="11">
        <f t="shared" ref="O4:O35" si="0">J4*4+K4*4+L4*9</f>
        <v>750</v>
      </c>
    </row>
    <row r="5" spans="1:15" ht="19.5" customHeight="1">
      <c r="A5" s="12" t="s">
        <v>17</v>
      </c>
      <c r="B5" s="13" t="s">
        <v>18</v>
      </c>
      <c r="C5" s="5" t="s">
        <v>25</v>
      </c>
      <c r="D5" s="6">
        <v>11000</v>
      </c>
      <c r="E5" s="6">
        <v>890</v>
      </c>
      <c r="F5" s="7" t="s">
        <v>20</v>
      </c>
      <c r="G5" s="8" t="s">
        <v>21</v>
      </c>
      <c r="H5" s="8" t="s">
        <v>21</v>
      </c>
      <c r="I5" s="8" t="s">
        <v>22</v>
      </c>
      <c r="J5" s="6">
        <v>105</v>
      </c>
      <c r="K5" s="6">
        <v>32</v>
      </c>
      <c r="L5" s="6">
        <v>38</v>
      </c>
      <c r="M5" s="14" t="s">
        <v>23</v>
      </c>
      <c r="N5" s="10" t="s">
        <v>24</v>
      </c>
      <c r="O5" s="15">
        <f t="shared" si="0"/>
        <v>890</v>
      </c>
    </row>
    <row r="6" spans="1:15" ht="19.5" customHeight="1">
      <c r="A6" s="3" t="s">
        <v>17</v>
      </c>
      <c r="B6" s="4" t="s">
        <v>18</v>
      </c>
      <c r="C6" s="5" t="s">
        <v>26</v>
      </c>
      <c r="D6" s="6">
        <v>13500</v>
      </c>
      <c r="E6" s="6">
        <v>600</v>
      </c>
      <c r="F6" s="7" t="s">
        <v>20</v>
      </c>
      <c r="G6" s="8" t="s">
        <v>21</v>
      </c>
      <c r="H6" s="8" t="s">
        <v>21</v>
      </c>
      <c r="I6" s="8" t="s">
        <v>22</v>
      </c>
      <c r="J6" s="6">
        <v>95</v>
      </c>
      <c r="K6" s="6">
        <v>14</v>
      </c>
      <c r="L6" s="6">
        <v>18</v>
      </c>
      <c r="M6" s="9" t="s">
        <v>23</v>
      </c>
      <c r="N6" s="10" t="s">
        <v>24</v>
      </c>
      <c r="O6" s="11">
        <f t="shared" si="0"/>
        <v>598</v>
      </c>
    </row>
    <row r="7" spans="1:15" ht="19.5" customHeight="1">
      <c r="A7" s="12" t="s">
        <v>17</v>
      </c>
      <c r="B7" s="13" t="s">
        <v>27</v>
      </c>
      <c r="C7" s="5" t="s">
        <v>28</v>
      </c>
      <c r="D7" s="6">
        <v>12000</v>
      </c>
      <c r="E7" s="6">
        <v>650</v>
      </c>
      <c r="F7" s="7" t="s">
        <v>20</v>
      </c>
      <c r="G7" s="8" t="s">
        <v>21</v>
      </c>
      <c r="H7" s="8" t="s">
        <v>21</v>
      </c>
      <c r="I7" s="8" t="s">
        <v>22</v>
      </c>
      <c r="J7" s="6">
        <v>80</v>
      </c>
      <c r="K7" s="6">
        <v>38</v>
      </c>
      <c r="L7" s="6">
        <v>20</v>
      </c>
      <c r="M7" s="14" t="s">
        <v>29</v>
      </c>
      <c r="N7" s="10" t="s">
        <v>24</v>
      </c>
      <c r="O7" s="15">
        <f t="shared" si="0"/>
        <v>652</v>
      </c>
    </row>
    <row r="8" spans="1:15" ht="19.5" customHeight="1">
      <c r="A8" s="3" t="s">
        <v>17</v>
      </c>
      <c r="B8" s="4" t="s">
        <v>27</v>
      </c>
      <c r="C8" s="5" t="s">
        <v>30</v>
      </c>
      <c r="D8" s="6">
        <v>12000</v>
      </c>
      <c r="E8" s="6">
        <v>645</v>
      </c>
      <c r="F8" s="7" t="s">
        <v>20</v>
      </c>
      <c r="G8" s="8" t="s">
        <v>21</v>
      </c>
      <c r="H8" s="8" t="s">
        <v>21</v>
      </c>
      <c r="I8" s="8" t="s">
        <v>22</v>
      </c>
      <c r="J8" s="6">
        <v>90</v>
      </c>
      <c r="K8" s="6">
        <v>35</v>
      </c>
      <c r="L8" s="6">
        <v>16</v>
      </c>
      <c r="M8" s="9" t="s">
        <v>29</v>
      </c>
      <c r="N8" s="10" t="s">
        <v>24</v>
      </c>
      <c r="O8" s="11">
        <f t="shared" si="0"/>
        <v>644</v>
      </c>
    </row>
    <row r="9" spans="1:15" ht="19.5" customHeight="1">
      <c r="A9" s="12" t="s">
        <v>17</v>
      </c>
      <c r="B9" s="13" t="s">
        <v>27</v>
      </c>
      <c r="C9" s="5" t="s">
        <v>31</v>
      </c>
      <c r="D9" s="6">
        <v>13000</v>
      </c>
      <c r="E9" s="6">
        <v>780</v>
      </c>
      <c r="F9" s="7" t="s">
        <v>20</v>
      </c>
      <c r="G9" s="8" t="s">
        <v>21</v>
      </c>
      <c r="H9" s="8" t="s">
        <v>21</v>
      </c>
      <c r="I9" s="8" t="s">
        <v>22</v>
      </c>
      <c r="J9" s="6">
        <v>95</v>
      </c>
      <c r="K9" s="6">
        <v>38</v>
      </c>
      <c r="L9" s="6">
        <v>28</v>
      </c>
      <c r="M9" s="14" t="s">
        <v>29</v>
      </c>
      <c r="N9" s="10" t="s">
        <v>24</v>
      </c>
      <c r="O9" s="15">
        <f t="shared" si="0"/>
        <v>784</v>
      </c>
    </row>
    <row r="10" spans="1:15" ht="19.5" customHeight="1">
      <c r="A10" s="3" t="s">
        <v>17</v>
      </c>
      <c r="B10" s="4" t="s">
        <v>32</v>
      </c>
      <c r="C10" s="5" t="s">
        <v>33</v>
      </c>
      <c r="D10" s="6">
        <v>8000</v>
      </c>
      <c r="E10" s="6">
        <v>740</v>
      </c>
      <c r="F10" s="7" t="s">
        <v>20</v>
      </c>
      <c r="G10" s="8" t="s">
        <v>21</v>
      </c>
      <c r="H10" s="8" t="s">
        <v>22</v>
      </c>
      <c r="I10" s="8" t="s">
        <v>22</v>
      </c>
      <c r="J10" s="6">
        <v>95</v>
      </c>
      <c r="K10" s="6">
        <v>32</v>
      </c>
      <c r="L10" s="6">
        <v>26</v>
      </c>
      <c r="M10" s="9" t="s">
        <v>34</v>
      </c>
      <c r="N10" s="10" t="s">
        <v>24</v>
      </c>
      <c r="O10" s="11">
        <f t="shared" si="0"/>
        <v>742</v>
      </c>
    </row>
    <row r="11" spans="1:15" ht="19.5" customHeight="1">
      <c r="A11" s="12" t="s">
        <v>17</v>
      </c>
      <c r="B11" s="13" t="s">
        <v>35</v>
      </c>
      <c r="C11" s="5" t="s">
        <v>36</v>
      </c>
      <c r="D11" s="6">
        <v>9600</v>
      </c>
      <c r="E11" s="6">
        <v>1120</v>
      </c>
      <c r="F11" s="7" t="s">
        <v>37</v>
      </c>
      <c r="G11" s="8" t="s">
        <v>21</v>
      </c>
      <c r="H11" s="8" t="s">
        <v>21</v>
      </c>
      <c r="I11" s="8" t="s">
        <v>22</v>
      </c>
      <c r="J11" s="6">
        <v>115</v>
      </c>
      <c r="K11" s="6">
        <v>38</v>
      </c>
      <c r="L11" s="6">
        <v>56</v>
      </c>
      <c r="M11" s="14" t="s">
        <v>23</v>
      </c>
      <c r="N11" s="10" t="s">
        <v>24</v>
      </c>
      <c r="O11" s="15">
        <f t="shared" si="0"/>
        <v>1116</v>
      </c>
    </row>
    <row r="12" spans="1:15" ht="19.5" customHeight="1">
      <c r="A12" s="3" t="s">
        <v>17</v>
      </c>
      <c r="B12" s="4" t="s">
        <v>35</v>
      </c>
      <c r="C12" s="5" t="s">
        <v>38</v>
      </c>
      <c r="D12" s="6">
        <v>11900</v>
      </c>
      <c r="E12" s="6">
        <v>1050</v>
      </c>
      <c r="F12" s="7" t="s">
        <v>37</v>
      </c>
      <c r="G12" s="8" t="s">
        <v>21</v>
      </c>
      <c r="H12" s="8" t="s">
        <v>21</v>
      </c>
      <c r="I12" s="8" t="s">
        <v>22</v>
      </c>
      <c r="J12" s="6">
        <v>108</v>
      </c>
      <c r="K12" s="6">
        <v>35</v>
      </c>
      <c r="L12" s="6">
        <v>52</v>
      </c>
      <c r="M12" s="9" t="s">
        <v>23</v>
      </c>
      <c r="N12" s="10" t="s">
        <v>24</v>
      </c>
      <c r="O12" s="11">
        <f t="shared" si="0"/>
        <v>1040</v>
      </c>
    </row>
    <row r="13" spans="1:15" ht="19.5" customHeight="1">
      <c r="A13" s="12" t="s">
        <v>17</v>
      </c>
      <c r="B13" s="13" t="s">
        <v>35</v>
      </c>
      <c r="C13" s="5" t="s">
        <v>39</v>
      </c>
      <c r="D13" s="6">
        <v>11400</v>
      </c>
      <c r="E13" s="6">
        <v>980</v>
      </c>
      <c r="F13" s="7" t="s">
        <v>37</v>
      </c>
      <c r="G13" s="8" t="s">
        <v>21</v>
      </c>
      <c r="H13" s="8" t="s">
        <v>21</v>
      </c>
      <c r="I13" s="8" t="s">
        <v>22</v>
      </c>
      <c r="J13" s="6">
        <v>102</v>
      </c>
      <c r="K13" s="6">
        <v>36</v>
      </c>
      <c r="L13" s="6">
        <v>45</v>
      </c>
      <c r="M13" s="14" t="s">
        <v>23</v>
      </c>
      <c r="N13" s="10" t="s">
        <v>24</v>
      </c>
      <c r="O13" s="15">
        <f t="shared" si="0"/>
        <v>957</v>
      </c>
    </row>
    <row r="14" spans="1:15" ht="19.5" customHeight="1">
      <c r="A14" s="3" t="s">
        <v>17</v>
      </c>
      <c r="B14" s="16" t="s">
        <v>40</v>
      </c>
      <c r="C14" s="5" t="s">
        <v>41</v>
      </c>
      <c r="D14" s="6">
        <v>4500</v>
      </c>
      <c r="E14" s="6">
        <v>420</v>
      </c>
      <c r="F14" s="7" t="s">
        <v>20</v>
      </c>
      <c r="G14" s="8" t="s">
        <v>21</v>
      </c>
      <c r="H14" s="8" t="s">
        <v>21</v>
      </c>
      <c r="I14" s="8" t="s">
        <v>22</v>
      </c>
      <c r="J14" s="6">
        <v>55</v>
      </c>
      <c r="K14" s="6">
        <v>14</v>
      </c>
      <c r="L14" s="6">
        <v>15</v>
      </c>
      <c r="M14" s="9" t="s">
        <v>42</v>
      </c>
      <c r="N14" s="10" t="s">
        <v>24</v>
      </c>
      <c r="O14" s="11">
        <f t="shared" si="0"/>
        <v>411</v>
      </c>
    </row>
    <row r="15" spans="1:15" ht="19.5" customHeight="1">
      <c r="A15" s="12" t="s">
        <v>17</v>
      </c>
      <c r="B15" s="17" t="s">
        <v>40</v>
      </c>
      <c r="C15" s="5" t="s">
        <v>43</v>
      </c>
      <c r="D15" s="6">
        <v>4000</v>
      </c>
      <c r="E15" s="6">
        <v>650</v>
      </c>
      <c r="F15" s="7" t="s">
        <v>20</v>
      </c>
      <c r="G15" s="8" t="s">
        <v>21</v>
      </c>
      <c r="H15" s="8" t="s">
        <v>21</v>
      </c>
      <c r="I15" s="8" t="s">
        <v>22</v>
      </c>
      <c r="J15" s="6">
        <v>105</v>
      </c>
      <c r="K15" s="6">
        <v>18</v>
      </c>
      <c r="L15" s="6">
        <v>18</v>
      </c>
      <c r="M15" s="14" t="s">
        <v>42</v>
      </c>
      <c r="N15" s="10" t="s">
        <v>24</v>
      </c>
      <c r="O15" s="15">
        <f t="shared" si="0"/>
        <v>654</v>
      </c>
    </row>
    <row r="16" spans="1:15" ht="19.5" customHeight="1">
      <c r="A16" s="3" t="s">
        <v>17</v>
      </c>
      <c r="B16" s="16" t="s">
        <v>40</v>
      </c>
      <c r="C16" s="5" t="s">
        <v>44</v>
      </c>
      <c r="D16" s="6">
        <v>5000</v>
      </c>
      <c r="E16" s="6">
        <v>480</v>
      </c>
      <c r="F16" s="7" t="s">
        <v>20</v>
      </c>
      <c r="G16" s="8" t="s">
        <v>21</v>
      </c>
      <c r="H16" s="8" t="s">
        <v>21</v>
      </c>
      <c r="I16" s="8" t="s">
        <v>22</v>
      </c>
      <c r="J16" s="6">
        <v>58</v>
      </c>
      <c r="K16" s="6">
        <v>18</v>
      </c>
      <c r="L16" s="6">
        <v>18</v>
      </c>
      <c r="M16" s="9" t="s">
        <v>42</v>
      </c>
      <c r="N16" s="10" t="s">
        <v>24</v>
      </c>
      <c r="O16" s="11">
        <f t="shared" si="0"/>
        <v>466</v>
      </c>
    </row>
    <row r="17" spans="1:15" ht="19.5" customHeight="1">
      <c r="A17" s="12" t="s">
        <v>17</v>
      </c>
      <c r="B17" s="13" t="s">
        <v>45</v>
      </c>
      <c r="C17" s="5" t="s">
        <v>46</v>
      </c>
      <c r="D17" s="6">
        <v>9000</v>
      </c>
      <c r="E17" s="6">
        <v>580</v>
      </c>
      <c r="F17" s="7" t="s">
        <v>20</v>
      </c>
      <c r="G17" s="8" t="s">
        <v>21</v>
      </c>
      <c r="H17" s="8" t="s">
        <v>21</v>
      </c>
      <c r="I17" s="8" t="s">
        <v>22</v>
      </c>
      <c r="J17" s="6">
        <v>95</v>
      </c>
      <c r="K17" s="6">
        <v>18</v>
      </c>
      <c r="L17" s="6">
        <v>14</v>
      </c>
      <c r="M17" s="14" t="s">
        <v>47</v>
      </c>
      <c r="N17" s="10" t="s">
        <v>24</v>
      </c>
      <c r="O17" s="15">
        <f t="shared" si="0"/>
        <v>578</v>
      </c>
    </row>
    <row r="18" spans="1:15" ht="19.5" customHeight="1">
      <c r="A18" s="3" t="s">
        <v>17</v>
      </c>
      <c r="B18" s="4" t="s">
        <v>45</v>
      </c>
      <c r="C18" s="5" t="s">
        <v>48</v>
      </c>
      <c r="D18" s="6">
        <v>9500</v>
      </c>
      <c r="E18" s="6">
        <v>590</v>
      </c>
      <c r="F18" s="7" t="s">
        <v>20</v>
      </c>
      <c r="G18" s="8" t="s">
        <v>21</v>
      </c>
      <c r="H18" s="8" t="s">
        <v>21</v>
      </c>
      <c r="I18" s="8" t="s">
        <v>22</v>
      </c>
      <c r="J18" s="6">
        <v>95</v>
      </c>
      <c r="K18" s="6">
        <v>25</v>
      </c>
      <c r="L18" s="6">
        <v>12</v>
      </c>
      <c r="M18" s="9" t="s">
        <v>47</v>
      </c>
      <c r="N18" s="10" t="s">
        <v>24</v>
      </c>
      <c r="O18" s="11">
        <f t="shared" si="0"/>
        <v>588</v>
      </c>
    </row>
    <row r="19" spans="1:15" ht="19.5" customHeight="1">
      <c r="A19" s="12" t="s">
        <v>17</v>
      </c>
      <c r="B19" s="13" t="s">
        <v>45</v>
      </c>
      <c r="C19" s="5" t="s">
        <v>49</v>
      </c>
      <c r="D19" s="6">
        <v>10000</v>
      </c>
      <c r="E19" s="6">
        <v>810</v>
      </c>
      <c r="F19" s="7" t="s">
        <v>20</v>
      </c>
      <c r="G19" s="8" t="s">
        <v>21</v>
      </c>
      <c r="H19" s="8" t="s">
        <v>21</v>
      </c>
      <c r="I19" s="8" t="s">
        <v>22</v>
      </c>
      <c r="J19" s="6">
        <v>85</v>
      </c>
      <c r="K19" s="6">
        <v>35</v>
      </c>
      <c r="L19" s="6">
        <v>38</v>
      </c>
      <c r="M19" s="14" t="s">
        <v>47</v>
      </c>
      <c r="N19" s="10" t="s">
        <v>24</v>
      </c>
      <c r="O19" s="15">
        <f t="shared" si="0"/>
        <v>822</v>
      </c>
    </row>
    <row r="20" spans="1:15" ht="19.5" customHeight="1">
      <c r="A20" s="3" t="s">
        <v>17</v>
      </c>
      <c r="B20" s="4" t="s">
        <v>50</v>
      </c>
      <c r="C20" s="5" t="s">
        <v>51</v>
      </c>
      <c r="D20" s="6">
        <v>50000</v>
      </c>
      <c r="E20" s="6">
        <v>750</v>
      </c>
      <c r="F20" s="7" t="s">
        <v>20</v>
      </c>
      <c r="G20" s="8" t="s">
        <v>21</v>
      </c>
      <c r="H20" s="8" t="s">
        <v>21</v>
      </c>
      <c r="I20" s="8" t="s">
        <v>22</v>
      </c>
      <c r="J20" s="6">
        <v>75</v>
      </c>
      <c r="K20" s="6">
        <v>45</v>
      </c>
      <c r="L20" s="6">
        <v>28</v>
      </c>
      <c r="M20" s="9" t="s">
        <v>52</v>
      </c>
      <c r="N20" s="10" t="s">
        <v>24</v>
      </c>
      <c r="O20" s="11">
        <f t="shared" si="0"/>
        <v>732</v>
      </c>
    </row>
    <row r="21" spans="1:15" ht="19.5" customHeight="1">
      <c r="A21" s="12" t="s">
        <v>17</v>
      </c>
      <c r="B21" s="13" t="s">
        <v>50</v>
      </c>
      <c r="C21" s="5" t="s">
        <v>53</v>
      </c>
      <c r="D21" s="6">
        <v>70000</v>
      </c>
      <c r="E21" s="6">
        <v>680</v>
      </c>
      <c r="F21" s="7" t="s">
        <v>20</v>
      </c>
      <c r="G21" s="8" t="s">
        <v>21</v>
      </c>
      <c r="H21" s="8" t="s">
        <v>21</v>
      </c>
      <c r="I21" s="8" t="s">
        <v>22</v>
      </c>
      <c r="J21" s="6">
        <v>80</v>
      </c>
      <c r="K21" s="6">
        <v>40</v>
      </c>
      <c r="L21" s="6">
        <v>22</v>
      </c>
      <c r="M21" s="14" t="s">
        <v>52</v>
      </c>
      <c r="N21" s="10" t="s">
        <v>24</v>
      </c>
      <c r="O21" s="15">
        <f t="shared" si="0"/>
        <v>678</v>
      </c>
    </row>
    <row r="22" spans="1:15" ht="19.5" customHeight="1">
      <c r="A22" s="3" t="s">
        <v>54</v>
      </c>
      <c r="B22" s="4" t="s">
        <v>55</v>
      </c>
      <c r="C22" s="5" t="s">
        <v>56</v>
      </c>
      <c r="D22" s="6">
        <v>19000</v>
      </c>
      <c r="E22" s="6">
        <v>650</v>
      </c>
      <c r="F22" s="7" t="s">
        <v>20</v>
      </c>
      <c r="G22" s="8" t="s">
        <v>21</v>
      </c>
      <c r="H22" s="8" t="s">
        <v>21</v>
      </c>
      <c r="I22" s="8" t="s">
        <v>22</v>
      </c>
      <c r="J22" s="6">
        <v>75</v>
      </c>
      <c r="K22" s="6">
        <v>22</v>
      </c>
      <c r="L22" s="6">
        <v>26</v>
      </c>
      <c r="M22" s="9" t="s">
        <v>57</v>
      </c>
      <c r="N22" s="10" t="s">
        <v>24</v>
      </c>
      <c r="O22" s="11">
        <f t="shared" si="0"/>
        <v>622</v>
      </c>
    </row>
    <row r="23" spans="1:15" ht="19.5" customHeight="1">
      <c r="A23" s="12" t="s">
        <v>54</v>
      </c>
      <c r="B23" s="13" t="s">
        <v>55</v>
      </c>
      <c r="C23" s="5" t="s">
        <v>58</v>
      </c>
      <c r="D23" s="6">
        <v>19000</v>
      </c>
      <c r="E23" s="6">
        <v>890</v>
      </c>
      <c r="F23" s="7" t="s">
        <v>20</v>
      </c>
      <c r="G23" s="8" t="s">
        <v>21</v>
      </c>
      <c r="H23" s="8" t="s">
        <v>21</v>
      </c>
      <c r="I23" s="8" t="s">
        <v>22</v>
      </c>
      <c r="J23" s="6">
        <v>95</v>
      </c>
      <c r="K23" s="6">
        <v>30</v>
      </c>
      <c r="L23" s="6">
        <v>42</v>
      </c>
      <c r="M23" s="14" t="s">
        <v>57</v>
      </c>
      <c r="N23" s="10" t="s">
        <v>24</v>
      </c>
      <c r="O23" s="15">
        <f t="shared" si="0"/>
        <v>878</v>
      </c>
    </row>
    <row r="24" spans="1:15" ht="19.5" customHeight="1">
      <c r="A24" s="3" t="s">
        <v>54</v>
      </c>
      <c r="B24" s="4" t="s">
        <v>59</v>
      </c>
      <c r="C24" s="5" t="s">
        <v>60</v>
      </c>
      <c r="D24" s="6">
        <v>5900</v>
      </c>
      <c r="E24" s="6">
        <v>380</v>
      </c>
      <c r="F24" s="7" t="s">
        <v>37</v>
      </c>
      <c r="G24" s="8" t="s">
        <v>21</v>
      </c>
      <c r="H24" s="8" t="s">
        <v>21</v>
      </c>
      <c r="I24" s="8" t="s">
        <v>22</v>
      </c>
      <c r="J24" s="6">
        <v>40</v>
      </c>
      <c r="K24" s="6">
        <v>18</v>
      </c>
      <c r="L24" s="6">
        <v>15</v>
      </c>
      <c r="M24" s="9" t="s">
        <v>61</v>
      </c>
      <c r="N24" s="10" t="s">
        <v>24</v>
      </c>
      <c r="O24" s="11">
        <f t="shared" si="0"/>
        <v>367</v>
      </c>
    </row>
    <row r="25" spans="1:15" ht="19.5" customHeight="1">
      <c r="A25" s="12" t="s">
        <v>54</v>
      </c>
      <c r="B25" s="13" t="s">
        <v>59</v>
      </c>
      <c r="C25" s="5" t="s">
        <v>62</v>
      </c>
      <c r="D25" s="6">
        <v>6800</v>
      </c>
      <c r="E25" s="6">
        <v>420</v>
      </c>
      <c r="F25" s="7" t="s">
        <v>37</v>
      </c>
      <c r="G25" s="8" t="s">
        <v>21</v>
      </c>
      <c r="H25" s="8" t="s">
        <v>21</v>
      </c>
      <c r="I25" s="8" t="s">
        <v>22</v>
      </c>
      <c r="J25" s="6">
        <v>50</v>
      </c>
      <c r="K25" s="6">
        <v>16</v>
      </c>
      <c r="L25" s="6">
        <v>17</v>
      </c>
      <c r="M25" s="14" t="s">
        <v>61</v>
      </c>
      <c r="N25" s="10" t="s">
        <v>24</v>
      </c>
      <c r="O25" s="15">
        <f t="shared" si="0"/>
        <v>417</v>
      </c>
    </row>
    <row r="26" spans="1:15" ht="19.5" customHeight="1">
      <c r="A26" s="3" t="s">
        <v>63</v>
      </c>
      <c r="B26" s="4" t="s">
        <v>64</v>
      </c>
      <c r="C26" s="5" t="s">
        <v>65</v>
      </c>
      <c r="D26" s="6">
        <v>11000</v>
      </c>
      <c r="E26" s="6">
        <v>780</v>
      </c>
      <c r="F26" s="7" t="s">
        <v>20</v>
      </c>
      <c r="G26" s="8" t="s">
        <v>21</v>
      </c>
      <c r="H26" s="8" t="s">
        <v>21</v>
      </c>
      <c r="I26" s="8" t="s">
        <v>22</v>
      </c>
      <c r="J26" s="6">
        <v>110</v>
      </c>
      <c r="K26" s="6">
        <v>20</v>
      </c>
      <c r="L26" s="6">
        <v>28</v>
      </c>
      <c r="M26" s="9" t="s">
        <v>66</v>
      </c>
      <c r="N26" s="10" t="s">
        <v>24</v>
      </c>
      <c r="O26" s="11">
        <f t="shared" si="0"/>
        <v>772</v>
      </c>
    </row>
    <row r="27" spans="1:15" ht="19.5" customHeight="1">
      <c r="A27" s="12" t="s">
        <v>63</v>
      </c>
      <c r="B27" s="13" t="s">
        <v>64</v>
      </c>
      <c r="C27" s="5" t="s">
        <v>67</v>
      </c>
      <c r="D27" s="6">
        <v>16000</v>
      </c>
      <c r="E27" s="6">
        <v>850</v>
      </c>
      <c r="F27" s="7" t="s">
        <v>20</v>
      </c>
      <c r="G27" s="8" t="s">
        <v>21</v>
      </c>
      <c r="H27" s="8" t="s">
        <v>21</v>
      </c>
      <c r="I27" s="8" t="s">
        <v>22</v>
      </c>
      <c r="J27" s="6">
        <v>100</v>
      </c>
      <c r="K27" s="6">
        <v>38</v>
      </c>
      <c r="L27" s="6">
        <v>35</v>
      </c>
      <c r="M27" s="14" t="s">
        <v>66</v>
      </c>
      <c r="N27" s="10" t="s">
        <v>24</v>
      </c>
      <c r="O27" s="15">
        <f t="shared" si="0"/>
        <v>867</v>
      </c>
    </row>
    <row r="28" spans="1:15" ht="19.5" customHeight="1">
      <c r="A28" s="3" t="s">
        <v>63</v>
      </c>
      <c r="B28" s="4" t="s">
        <v>64</v>
      </c>
      <c r="C28" s="5" t="s">
        <v>68</v>
      </c>
      <c r="D28" s="6">
        <v>15000</v>
      </c>
      <c r="E28" s="6">
        <v>850</v>
      </c>
      <c r="F28" s="7" t="s">
        <v>20</v>
      </c>
      <c r="G28" s="8" t="s">
        <v>21</v>
      </c>
      <c r="H28" s="8" t="s">
        <v>21</v>
      </c>
      <c r="I28" s="8" t="s">
        <v>22</v>
      </c>
      <c r="J28" s="6">
        <v>120</v>
      </c>
      <c r="K28" s="6">
        <v>28</v>
      </c>
      <c r="L28" s="6">
        <v>28</v>
      </c>
      <c r="M28" s="9" t="s">
        <v>66</v>
      </c>
      <c r="N28" s="10" t="s">
        <v>24</v>
      </c>
      <c r="O28" s="11">
        <f t="shared" si="0"/>
        <v>844</v>
      </c>
    </row>
    <row r="29" spans="1:15" ht="19.5" customHeight="1">
      <c r="A29" s="12" t="s">
        <v>63</v>
      </c>
      <c r="B29" s="13" t="s">
        <v>69</v>
      </c>
      <c r="C29" s="5" t="s">
        <v>70</v>
      </c>
      <c r="D29" s="6">
        <v>26000</v>
      </c>
      <c r="E29" s="6">
        <v>750</v>
      </c>
      <c r="F29" s="7" t="s">
        <v>20</v>
      </c>
      <c r="G29" s="8" t="s">
        <v>21</v>
      </c>
      <c r="H29" s="8" t="s">
        <v>21</v>
      </c>
      <c r="I29" s="8" t="s">
        <v>22</v>
      </c>
      <c r="J29" s="6">
        <v>95</v>
      </c>
      <c r="K29" s="6">
        <v>35</v>
      </c>
      <c r="L29" s="6">
        <v>25</v>
      </c>
      <c r="M29" s="14" t="s">
        <v>71</v>
      </c>
      <c r="N29" s="10" t="s">
        <v>24</v>
      </c>
      <c r="O29" s="15">
        <f t="shared" si="0"/>
        <v>745</v>
      </c>
    </row>
    <row r="30" spans="1:15" ht="19.5" customHeight="1">
      <c r="A30" s="3" t="s">
        <v>63</v>
      </c>
      <c r="B30" s="4" t="s">
        <v>69</v>
      </c>
      <c r="C30" s="5" t="s">
        <v>72</v>
      </c>
      <c r="D30" s="6">
        <v>21000</v>
      </c>
      <c r="E30" s="6">
        <v>620</v>
      </c>
      <c r="F30" s="7" t="s">
        <v>20</v>
      </c>
      <c r="G30" s="8" t="s">
        <v>21</v>
      </c>
      <c r="H30" s="8" t="s">
        <v>21</v>
      </c>
      <c r="I30" s="8" t="s">
        <v>22</v>
      </c>
      <c r="J30" s="6">
        <v>65</v>
      </c>
      <c r="K30" s="6">
        <v>40</v>
      </c>
      <c r="L30" s="6">
        <v>22</v>
      </c>
      <c r="M30" s="9" t="s">
        <v>71</v>
      </c>
      <c r="N30" s="10" t="s">
        <v>24</v>
      </c>
      <c r="O30" s="11">
        <f t="shared" si="0"/>
        <v>618</v>
      </c>
    </row>
    <row r="31" spans="1:15" ht="19.5" customHeight="1">
      <c r="A31" s="12" t="s">
        <v>63</v>
      </c>
      <c r="B31" s="13" t="s">
        <v>73</v>
      </c>
      <c r="C31" s="5" t="s">
        <v>74</v>
      </c>
      <c r="D31" s="6">
        <v>28900</v>
      </c>
      <c r="E31" s="6">
        <v>580</v>
      </c>
      <c r="F31" s="7" t="s">
        <v>20</v>
      </c>
      <c r="G31" s="8" t="s">
        <v>21</v>
      </c>
      <c r="H31" s="8" t="s">
        <v>21</v>
      </c>
      <c r="I31" s="8" t="s">
        <v>22</v>
      </c>
      <c r="J31" s="6">
        <v>65</v>
      </c>
      <c r="K31" s="6">
        <v>38</v>
      </c>
      <c r="L31" s="6">
        <v>16</v>
      </c>
      <c r="M31" s="14" t="s">
        <v>75</v>
      </c>
      <c r="N31" s="10" t="s">
        <v>24</v>
      </c>
      <c r="O31" s="15">
        <f t="shared" si="0"/>
        <v>556</v>
      </c>
    </row>
    <row r="32" spans="1:15" ht="19.5" customHeight="1">
      <c r="A32" s="3" t="s">
        <v>63</v>
      </c>
      <c r="B32" s="4" t="s">
        <v>73</v>
      </c>
      <c r="C32" s="5" t="s">
        <v>76</v>
      </c>
      <c r="D32" s="6">
        <v>23900</v>
      </c>
      <c r="E32" s="6">
        <v>740</v>
      </c>
      <c r="F32" s="7" t="s">
        <v>20</v>
      </c>
      <c r="G32" s="8" t="s">
        <v>21</v>
      </c>
      <c r="H32" s="8" t="s">
        <v>21</v>
      </c>
      <c r="I32" s="8" t="s">
        <v>22</v>
      </c>
      <c r="J32" s="6">
        <v>85</v>
      </c>
      <c r="K32" s="6">
        <v>32</v>
      </c>
      <c r="L32" s="6">
        <v>30</v>
      </c>
      <c r="M32" s="9" t="s">
        <v>75</v>
      </c>
      <c r="N32" s="10" t="s">
        <v>24</v>
      </c>
      <c r="O32" s="11">
        <f t="shared" si="0"/>
        <v>738</v>
      </c>
    </row>
    <row r="33" spans="1:15" ht="19.5" customHeight="1">
      <c r="A33" s="12" t="s">
        <v>63</v>
      </c>
      <c r="B33" s="13" t="s">
        <v>73</v>
      </c>
      <c r="C33" s="5" t="s">
        <v>77</v>
      </c>
      <c r="D33" s="6">
        <v>24000</v>
      </c>
      <c r="E33" s="6">
        <v>720</v>
      </c>
      <c r="F33" s="7" t="s">
        <v>20</v>
      </c>
      <c r="G33" s="8" t="s">
        <v>21</v>
      </c>
      <c r="H33" s="8" t="s">
        <v>21</v>
      </c>
      <c r="I33" s="8" t="s">
        <v>22</v>
      </c>
      <c r="J33" s="6">
        <v>80</v>
      </c>
      <c r="K33" s="6">
        <v>25</v>
      </c>
      <c r="L33" s="6">
        <v>33</v>
      </c>
      <c r="M33" s="14" t="s">
        <v>75</v>
      </c>
      <c r="N33" s="10" t="s">
        <v>24</v>
      </c>
      <c r="O33" s="15">
        <f t="shared" si="0"/>
        <v>717</v>
      </c>
    </row>
    <row r="34" spans="1:15" ht="19.5" customHeight="1">
      <c r="A34" s="3" t="s">
        <v>63</v>
      </c>
      <c r="B34" s="4" t="s">
        <v>78</v>
      </c>
      <c r="C34" s="5" t="s">
        <v>79</v>
      </c>
      <c r="D34" s="6">
        <v>17000</v>
      </c>
      <c r="E34" s="6">
        <v>850</v>
      </c>
      <c r="F34" s="7" t="s">
        <v>20</v>
      </c>
      <c r="G34" s="8" t="s">
        <v>21</v>
      </c>
      <c r="H34" s="8" t="s">
        <v>21</v>
      </c>
      <c r="I34" s="8" t="s">
        <v>22</v>
      </c>
      <c r="J34" s="6">
        <v>85</v>
      </c>
      <c r="K34" s="6">
        <v>45</v>
      </c>
      <c r="L34" s="6">
        <v>36</v>
      </c>
      <c r="M34" s="9" t="s">
        <v>80</v>
      </c>
      <c r="N34" s="10" t="s">
        <v>24</v>
      </c>
      <c r="O34" s="11">
        <f t="shared" si="0"/>
        <v>844</v>
      </c>
    </row>
    <row r="35" spans="1:15" ht="19.5" customHeight="1">
      <c r="A35" s="12" t="s">
        <v>63</v>
      </c>
      <c r="B35" s="13" t="s">
        <v>78</v>
      </c>
      <c r="C35" s="5" t="s">
        <v>81</v>
      </c>
      <c r="D35" s="6">
        <v>16000</v>
      </c>
      <c r="E35" s="6">
        <v>940</v>
      </c>
      <c r="F35" s="7" t="s">
        <v>20</v>
      </c>
      <c r="G35" s="8" t="s">
        <v>21</v>
      </c>
      <c r="H35" s="8" t="s">
        <v>21</v>
      </c>
      <c r="I35" s="8" t="s">
        <v>22</v>
      </c>
      <c r="J35" s="6">
        <v>85</v>
      </c>
      <c r="K35" s="6">
        <v>40</v>
      </c>
      <c r="L35" s="6">
        <v>48</v>
      </c>
      <c r="M35" s="14" t="s">
        <v>80</v>
      </c>
      <c r="N35" s="10" t="s">
        <v>24</v>
      </c>
      <c r="O35" s="15">
        <f t="shared" si="0"/>
        <v>932</v>
      </c>
    </row>
    <row r="36" spans="1:15" ht="19.5" customHeight="1">
      <c r="A36" s="3" t="s">
        <v>63</v>
      </c>
      <c r="B36" s="4" t="s">
        <v>78</v>
      </c>
      <c r="C36" s="5" t="s">
        <v>82</v>
      </c>
      <c r="D36" s="6">
        <v>12000</v>
      </c>
      <c r="E36" s="6">
        <v>500</v>
      </c>
      <c r="F36" s="7" t="s">
        <v>20</v>
      </c>
      <c r="G36" s="8" t="s">
        <v>21</v>
      </c>
      <c r="H36" s="8" t="s">
        <v>21</v>
      </c>
      <c r="I36" s="8" t="s">
        <v>22</v>
      </c>
      <c r="J36" s="6">
        <v>88</v>
      </c>
      <c r="K36" s="6">
        <v>14</v>
      </c>
      <c r="L36" s="6">
        <v>10</v>
      </c>
      <c r="M36" s="9" t="s">
        <v>80</v>
      </c>
      <c r="N36" s="10" t="s">
        <v>24</v>
      </c>
      <c r="O36" s="11">
        <f t="shared" ref="O36:O67" si="1">J36*4+K36*4+L36*9</f>
        <v>498</v>
      </c>
    </row>
    <row r="37" spans="1:15" ht="19.5" customHeight="1">
      <c r="A37" s="12" t="s">
        <v>63</v>
      </c>
      <c r="B37" s="13" t="s">
        <v>83</v>
      </c>
      <c r="C37" s="5" t="s">
        <v>84</v>
      </c>
      <c r="D37" s="6">
        <v>16400</v>
      </c>
      <c r="E37" s="6">
        <v>420</v>
      </c>
      <c r="F37" s="7" t="s">
        <v>37</v>
      </c>
      <c r="G37" s="8" t="s">
        <v>21</v>
      </c>
      <c r="H37" s="8" t="s">
        <v>21</v>
      </c>
      <c r="I37" s="8" t="s">
        <v>22</v>
      </c>
      <c r="J37" s="6">
        <v>30</v>
      </c>
      <c r="K37" s="6">
        <v>28</v>
      </c>
      <c r="L37" s="6">
        <v>22</v>
      </c>
      <c r="M37" s="14" t="s">
        <v>85</v>
      </c>
      <c r="N37" s="10" t="s">
        <v>24</v>
      </c>
      <c r="O37" s="15">
        <f t="shared" si="1"/>
        <v>430</v>
      </c>
    </row>
    <row r="38" spans="1:15" ht="19.5" customHeight="1">
      <c r="A38" s="3" t="s">
        <v>63</v>
      </c>
      <c r="B38" s="4" t="s">
        <v>83</v>
      </c>
      <c r="C38" s="5" t="s">
        <v>86</v>
      </c>
      <c r="D38" s="6">
        <v>12800</v>
      </c>
      <c r="E38" s="6">
        <v>480</v>
      </c>
      <c r="F38" s="7" t="s">
        <v>37</v>
      </c>
      <c r="G38" s="8" t="s">
        <v>21</v>
      </c>
      <c r="H38" s="8" t="s">
        <v>21</v>
      </c>
      <c r="I38" s="8" t="s">
        <v>22</v>
      </c>
      <c r="J38" s="6">
        <v>32</v>
      </c>
      <c r="K38" s="6">
        <v>32</v>
      </c>
      <c r="L38" s="6">
        <v>25</v>
      </c>
      <c r="M38" s="9" t="s">
        <v>85</v>
      </c>
      <c r="N38" s="10" t="s">
        <v>24</v>
      </c>
      <c r="O38" s="11">
        <f t="shared" si="1"/>
        <v>481</v>
      </c>
    </row>
    <row r="39" spans="1:15" ht="19.5" customHeight="1">
      <c r="A39" s="12" t="s">
        <v>63</v>
      </c>
      <c r="B39" s="13" t="s">
        <v>87</v>
      </c>
      <c r="C39" s="5" t="s">
        <v>88</v>
      </c>
      <c r="D39" s="6">
        <v>14000</v>
      </c>
      <c r="E39" s="6">
        <v>450</v>
      </c>
      <c r="F39" s="7" t="s">
        <v>20</v>
      </c>
      <c r="G39" s="8" t="s">
        <v>21</v>
      </c>
      <c r="H39" s="8" t="s">
        <v>22</v>
      </c>
      <c r="I39" s="8" t="s">
        <v>22</v>
      </c>
      <c r="J39" s="6">
        <v>45</v>
      </c>
      <c r="K39" s="6">
        <v>15</v>
      </c>
      <c r="L39" s="6">
        <v>24</v>
      </c>
      <c r="M39" s="14" t="s">
        <v>89</v>
      </c>
      <c r="N39" s="10" t="s">
        <v>24</v>
      </c>
      <c r="O39" s="15">
        <f t="shared" si="1"/>
        <v>456</v>
      </c>
    </row>
    <row r="40" spans="1:15" ht="19.5" customHeight="1">
      <c r="A40" s="3" t="s">
        <v>63</v>
      </c>
      <c r="B40" s="4" t="s">
        <v>87</v>
      </c>
      <c r="C40" s="5" t="s">
        <v>90</v>
      </c>
      <c r="D40" s="6">
        <v>13000</v>
      </c>
      <c r="E40" s="6">
        <v>580</v>
      </c>
      <c r="F40" s="7" t="s">
        <v>20</v>
      </c>
      <c r="G40" s="8" t="s">
        <v>21</v>
      </c>
      <c r="H40" s="8" t="s">
        <v>22</v>
      </c>
      <c r="I40" s="8" t="s">
        <v>22</v>
      </c>
      <c r="J40" s="6">
        <v>50</v>
      </c>
      <c r="K40" s="6">
        <v>22</v>
      </c>
      <c r="L40" s="6">
        <v>32</v>
      </c>
      <c r="M40" s="9" t="s">
        <v>89</v>
      </c>
      <c r="N40" s="10" t="s">
        <v>24</v>
      </c>
      <c r="O40" s="11">
        <f t="shared" si="1"/>
        <v>576</v>
      </c>
    </row>
    <row r="41" spans="1:15" ht="19.5" customHeight="1">
      <c r="A41" s="18" t="s">
        <v>91</v>
      </c>
      <c r="B41" s="13" t="s">
        <v>92</v>
      </c>
      <c r="C41" s="5" t="s">
        <v>93</v>
      </c>
      <c r="D41" s="6">
        <v>13000</v>
      </c>
      <c r="E41" s="6">
        <v>520</v>
      </c>
      <c r="F41" s="7" t="s">
        <v>20</v>
      </c>
      <c r="G41" s="8" t="s">
        <v>21</v>
      </c>
      <c r="H41" s="8" t="s">
        <v>21</v>
      </c>
      <c r="I41" s="8" t="s">
        <v>22</v>
      </c>
      <c r="J41" s="6">
        <v>70</v>
      </c>
      <c r="K41" s="6">
        <v>32</v>
      </c>
      <c r="L41" s="6">
        <v>12</v>
      </c>
      <c r="M41" s="14" t="s">
        <v>94</v>
      </c>
      <c r="N41" s="10" t="s">
        <v>24</v>
      </c>
      <c r="O41" s="15">
        <f t="shared" si="1"/>
        <v>516</v>
      </c>
    </row>
    <row r="42" spans="1:15" ht="19.5" customHeight="1">
      <c r="A42" s="19" t="s">
        <v>91</v>
      </c>
      <c r="B42" s="4" t="s">
        <v>92</v>
      </c>
      <c r="C42" s="5" t="s">
        <v>95</v>
      </c>
      <c r="D42" s="6">
        <v>13000</v>
      </c>
      <c r="E42" s="6">
        <v>540</v>
      </c>
      <c r="F42" s="7" t="s">
        <v>20</v>
      </c>
      <c r="G42" s="8" t="s">
        <v>21</v>
      </c>
      <c r="H42" s="8" t="s">
        <v>21</v>
      </c>
      <c r="I42" s="8" t="s">
        <v>22</v>
      </c>
      <c r="J42" s="6">
        <v>72</v>
      </c>
      <c r="K42" s="6">
        <v>30</v>
      </c>
      <c r="L42" s="6">
        <v>14</v>
      </c>
      <c r="M42" s="9" t="s">
        <v>94</v>
      </c>
      <c r="N42" s="10" t="s">
        <v>24</v>
      </c>
      <c r="O42" s="11">
        <f t="shared" si="1"/>
        <v>534</v>
      </c>
    </row>
    <row r="43" spans="1:15" ht="19.5" customHeight="1">
      <c r="A43" s="18" t="s">
        <v>91</v>
      </c>
      <c r="B43" s="13" t="s">
        <v>92</v>
      </c>
      <c r="C43" s="5" t="s">
        <v>96</v>
      </c>
      <c r="D43" s="6">
        <v>13000</v>
      </c>
      <c r="E43" s="6">
        <v>680</v>
      </c>
      <c r="F43" s="7" t="s">
        <v>20</v>
      </c>
      <c r="G43" s="8" t="s">
        <v>21</v>
      </c>
      <c r="H43" s="8" t="s">
        <v>21</v>
      </c>
      <c r="I43" s="8" t="s">
        <v>22</v>
      </c>
      <c r="J43" s="6">
        <v>95</v>
      </c>
      <c r="K43" s="6">
        <v>25</v>
      </c>
      <c r="L43" s="6">
        <v>22</v>
      </c>
      <c r="M43" s="14" t="s">
        <v>94</v>
      </c>
      <c r="N43" s="10" t="s">
        <v>24</v>
      </c>
      <c r="O43" s="15">
        <f t="shared" si="1"/>
        <v>678</v>
      </c>
    </row>
    <row r="44" spans="1:15" ht="19.5" customHeight="1">
      <c r="A44" s="19" t="s">
        <v>97</v>
      </c>
      <c r="B44" s="4" t="s">
        <v>98</v>
      </c>
      <c r="C44" s="5" t="s">
        <v>99</v>
      </c>
      <c r="D44" s="6">
        <v>12000</v>
      </c>
      <c r="E44" s="6">
        <v>590</v>
      </c>
      <c r="F44" s="7" t="s">
        <v>20</v>
      </c>
      <c r="G44" s="8" t="s">
        <v>21</v>
      </c>
      <c r="H44" s="8" t="s">
        <v>21</v>
      </c>
      <c r="I44" s="8" t="s">
        <v>22</v>
      </c>
      <c r="J44" s="6">
        <v>75</v>
      </c>
      <c r="K44" s="6">
        <v>28</v>
      </c>
      <c r="L44" s="6">
        <v>20</v>
      </c>
      <c r="M44" s="9" t="s">
        <v>100</v>
      </c>
      <c r="N44" s="10" t="s">
        <v>24</v>
      </c>
      <c r="O44" s="11">
        <f t="shared" si="1"/>
        <v>592</v>
      </c>
    </row>
    <row r="45" spans="1:15" ht="19.5" customHeight="1">
      <c r="A45" s="18" t="s">
        <v>97</v>
      </c>
      <c r="B45" s="13" t="s">
        <v>98</v>
      </c>
      <c r="C45" s="5" t="s">
        <v>101</v>
      </c>
      <c r="D45" s="6">
        <v>14000</v>
      </c>
      <c r="E45" s="6">
        <v>650</v>
      </c>
      <c r="F45" s="7" t="s">
        <v>20</v>
      </c>
      <c r="G45" s="8" t="s">
        <v>21</v>
      </c>
      <c r="H45" s="8" t="s">
        <v>21</v>
      </c>
      <c r="I45" s="8" t="s">
        <v>22</v>
      </c>
      <c r="J45" s="6">
        <v>90</v>
      </c>
      <c r="K45" s="6">
        <v>28</v>
      </c>
      <c r="L45" s="6">
        <v>20</v>
      </c>
      <c r="M45" s="14" t="s">
        <v>100</v>
      </c>
      <c r="N45" s="10" t="s">
        <v>24</v>
      </c>
      <c r="O45" s="15">
        <f t="shared" si="1"/>
        <v>652</v>
      </c>
    </row>
    <row r="46" spans="1:15" ht="19.5" customHeight="1">
      <c r="A46" s="19" t="s">
        <v>97</v>
      </c>
      <c r="B46" s="4" t="s">
        <v>102</v>
      </c>
      <c r="C46" s="5" t="s">
        <v>103</v>
      </c>
      <c r="D46" s="6">
        <v>6000</v>
      </c>
      <c r="E46" s="6">
        <v>520</v>
      </c>
      <c r="F46" s="7" t="s">
        <v>20</v>
      </c>
      <c r="G46" s="8" t="s">
        <v>21</v>
      </c>
      <c r="H46" s="8" t="s">
        <v>21</v>
      </c>
      <c r="I46" s="8" t="s">
        <v>21</v>
      </c>
      <c r="J46" s="6">
        <v>95</v>
      </c>
      <c r="K46" s="6">
        <v>12</v>
      </c>
      <c r="L46" s="6">
        <v>10</v>
      </c>
      <c r="M46" s="9" t="s">
        <v>104</v>
      </c>
      <c r="N46" s="10" t="s">
        <v>24</v>
      </c>
      <c r="O46" s="11">
        <f t="shared" si="1"/>
        <v>518</v>
      </c>
    </row>
    <row r="47" spans="1:15" ht="19.5" customHeight="1">
      <c r="A47" s="18" t="s">
        <v>97</v>
      </c>
      <c r="B47" s="13" t="s">
        <v>102</v>
      </c>
      <c r="C47" s="5" t="s">
        <v>105</v>
      </c>
      <c r="D47" s="6">
        <v>11000</v>
      </c>
      <c r="E47" s="6">
        <v>760</v>
      </c>
      <c r="F47" s="7" t="s">
        <v>20</v>
      </c>
      <c r="G47" s="8" t="s">
        <v>21</v>
      </c>
      <c r="H47" s="8" t="s">
        <v>21</v>
      </c>
      <c r="I47" s="8" t="s">
        <v>21</v>
      </c>
      <c r="J47" s="6">
        <v>120</v>
      </c>
      <c r="K47" s="6">
        <v>20</v>
      </c>
      <c r="L47" s="6">
        <v>22</v>
      </c>
      <c r="M47" s="14" t="s">
        <v>104</v>
      </c>
      <c r="N47" s="10" t="s">
        <v>24</v>
      </c>
      <c r="O47" s="15">
        <f t="shared" si="1"/>
        <v>758</v>
      </c>
    </row>
    <row r="48" spans="1:15" ht="19.5" customHeight="1">
      <c r="A48" s="19" t="s">
        <v>97</v>
      </c>
      <c r="B48" s="4" t="s">
        <v>102</v>
      </c>
      <c r="C48" s="5" t="s">
        <v>106</v>
      </c>
      <c r="D48" s="6">
        <v>13000</v>
      </c>
      <c r="E48" s="6">
        <v>880</v>
      </c>
      <c r="F48" s="7" t="s">
        <v>20</v>
      </c>
      <c r="G48" s="8" t="s">
        <v>21</v>
      </c>
      <c r="H48" s="8" t="s">
        <v>21</v>
      </c>
      <c r="I48" s="8" t="s">
        <v>21</v>
      </c>
      <c r="J48" s="6">
        <v>110</v>
      </c>
      <c r="K48" s="6">
        <v>30</v>
      </c>
      <c r="L48" s="6">
        <v>35</v>
      </c>
      <c r="M48" s="9" t="s">
        <v>104</v>
      </c>
      <c r="N48" s="10" t="s">
        <v>24</v>
      </c>
      <c r="O48" s="11">
        <f t="shared" si="1"/>
        <v>875</v>
      </c>
    </row>
    <row r="49" spans="1:15" ht="19.5" customHeight="1">
      <c r="A49" s="18" t="s">
        <v>97</v>
      </c>
      <c r="B49" s="13" t="s">
        <v>107</v>
      </c>
      <c r="C49" s="5" t="s">
        <v>108</v>
      </c>
      <c r="D49" s="6">
        <v>13000</v>
      </c>
      <c r="E49" s="6">
        <v>610</v>
      </c>
      <c r="F49" s="7" t="s">
        <v>20</v>
      </c>
      <c r="G49" s="8" t="s">
        <v>21</v>
      </c>
      <c r="H49" s="8" t="s">
        <v>21</v>
      </c>
      <c r="I49" s="8" t="s">
        <v>22</v>
      </c>
      <c r="J49" s="6">
        <v>78</v>
      </c>
      <c r="K49" s="6">
        <v>32</v>
      </c>
      <c r="L49" s="6">
        <v>18</v>
      </c>
      <c r="M49" s="14" t="s">
        <v>109</v>
      </c>
      <c r="N49" s="10" t="s">
        <v>24</v>
      </c>
      <c r="O49" s="15">
        <f t="shared" si="1"/>
        <v>602</v>
      </c>
    </row>
    <row r="50" spans="1:15" ht="19.5" customHeight="1">
      <c r="A50" s="19" t="s">
        <v>97</v>
      </c>
      <c r="B50" s="4" t="s">
        <v>107</v>
      </c>
      <c r="C50" s="5" t="s">
        <v>110</v>
      </c>
      <c r="D50" s="6">
        <v>14000</v>
      </c>
      <c r="E50" s="6">
        <v>690</v>
      </c>
      <c r="F50" s="7" t="s">
        <v>20</v>
      </c>
      <c r="G50" s="8" t="s">
        <v>21</v>
      </c>
      <c r="H50" s="8" t="s">
        <v>21</v>
      </c>
      <c r="I50" s="8" t="s">
        <v>22</v>
      </c>
      <c r="J50" s="6">
        <v>95</v>
      </c>
      <c r="K50" s="6">
        <v>28</v>
      </c>
      <c r="L50" s="6">
        <v>22</v>
      </c>
      <c r="M50" s="9" t="s">
        <v>109</v>
      </c>
      <c r="N50" s="10" t="s">
        <v>24</v>
      </c>
      <c r="O50" s="11">
        <f t="shared" si="1"/>
        <v>690</v>
      </c>
    </row>
    <row r="51" spans="1:15" ht="19.5" customHeight="1">
      <c r="A51" s="18" t="s">
        <v>97</v>
      </c>
      <c r="B51" s="13" t="s">
        <v>107</v>
      </c>
      <c r="C51" s="5" t="s">
        <v>111</v>
      </c>
      <c r="D51" s="6">
        <v>18000</v>
      </c>
      <c r="E51" s="6">
        <v>740</v>
      </c>
      <c r="F51" s="7" t="s">
        <v>20</v>
      </c>
      <c r="G51" s="8" t="s">
        <v>21</v>
      </c>
      <c r="H51" s="8" t="s">
        <v>21</v>
      </c>
      <c r="I51" s="8" t="s">
        <v>22</v>
      </c>
      <c r="J51" s="6">
        <v>100</v>
      </c>
      <c r="K51" s="6">
        <v>25</v>
      </c>
      <c r="L51" s="6">
        <v>27</v>
      </c>
      <c r="M51" s="14" t="s">
        <v>109</v>
      </c>
      <c r="N51" s="10" t="s">
        <v>24</v>
      </c>
      <c r="O51" s="15">
        <f t="shared" si="1"/>
        <v>743</v>
      </c>
    </row>
    <row r="52" spans="1:15" ht="19.5" customHeight="1">
      <c r="A52" s="19" t="s">
        <v>112</v>
      </c>
      <c r="B52" s="4" t="s">
        <v>113</v>
      </c>
      <c r="C52" s="5" t="s">
        <v>114</v>
      </c>
      <c r="D52" s="6">
        <v>11000</v>
      </c>
      <c r="E52" s="6">
        <v>610</v>
      </c>
      <c r="F52" s="7" t="s">
        <v>20</v>
      </c>
      <c r="G52" s="8" t="s">
        <v>21</v>
      </c>
      <c r="H52" s="8" t="s">
        <v>21</v>
      </c>
      <c r="I52" s="8" t="s">
        <v>22</v>
      </c>
      <c r="J52" s="6">
        <v>70</v>
      </c>
      <c r="K52" s="6">
        <v>42</v>
      </c>
      <c r="L52" s="6">
        <v>18</v>
      </c>
      <c r="M52" s="9" t="s">
        <v>115</v>
      </c>
      <c r="N52" s="10" t="s">
        <v>24</v>
      </c>
      <c r="O52" s="11">
        <f t="shared" si="1"/>
        <v>610</v>
      </c>
    </row>
    <row r="53" spans="1:15" ht="19.5" customHeight="1">
      <c r="A53" s="18" t="s">
        <v>112</v>
      </c>
      <c r="B53" s="13" t="s">
        <v>113</v>
      </c>
      <c r="C53" s="5" t="s">
        <v>116</v>
      </c>
      <c r="D53" s="6">
        <v>15000</v>
      </c>
      <c r="E53" s="6">
        <v>750</v>
      </c>
      <c r="F53" s="7" t="s">
        <v>20</v>
      </c>
      <c r="G53" s="8" t="s">
        <v>21</v>
      </c>
      <c r="H53" s="8" t="s">
        <v>21</v>
      </c>
      <c r="I53" s="8" t="s">
        <v>22</v>
      </c>
      <c r="J53" s="6">
        <v>72</v>
      </c>
      <c r="K53" s="6">
        <v>55</v>
      </c>
      <c r="L53" s="6">
        <v>27</v>
      </c>
      <c r="M53" s="14" t="s">
        <v>115</v>
      </c>
      <c r="N53" s="10" t="s">
        <v>24</v>
      </c>
      <c r="O53" s="15">
        <f t="shared" si="1"/>
        <v>751</v>
      </c>
    </row>
    <row r="54" spans="1:15" ht="19.5" customHeight="1">
      <c r="A54" s="19" t="s">
        <v>112</v>
      </c>
      <c r="B54" s="4" t="s">
        <v>117</v>
      </c>
      <c r="C54" s="5" t="s">
        <v>118</v>
      </c>
      <c r="D54" s="6">
        <v>12700</v>
      </c>
      <c r="E54" s="6">
        <v>500</v>
      </c>
      <c r="F54" s="7" t="s">
        <v>20</v>
      </c>
      <c r="G54" s="8" t="s">
        <v>21</v>
      </c>
      <c r="H54" s="8" t="s">
        <v>21</v>
      </c>
      <c r="I54" s="8" t="s">
        <v>22</v>
      </c>
      <c r="J54" s="6">
        <v>70</v>
      </c>
      <c r="K54" s="6">
        <v>30</v>
      </c>
      <c r="L54" s="6">
        <v>10</v>
      </c>
      <c r="M54" s="9" t="s">
        <v>119</v>
      </c>
      <c r="N54" s="10" t="s">
        <v>24</v>
      </c>
      <c r="O54" s="11">
        <f t="shared" si="1"/>
        <v>490</v>
      </c>
    </row>
    <row r="55" spans="1:15" ht="19.5" customHeight="1">
      <c r="A55" s="18" t="s">
        <v>112</v>
      </c>
      <c r="B55" s="13" t="s">
        <v>117</v>
      </c>
      <c r="C55" s="5" t="s">
        <v>120</v>
      </c>
      <c r="D55" s="6">
        <v>14500</v>
      </c>
      <c r="E55" s="6">
        <v>540</v>
      </c>
      <c r="F55" s="7" t="s">
        <v>20</v>
      </c>
      <c r="G55" s="8" t="s">
        <v>21</v>
      </c>
      <c r="H55" s="8" t="s">
        <v>21</v>
      </c>
      <c r="I55" s="8" t="s">
        <v>22</v>
      </c>
      <c r="J55" s="6">
        <v>85</v>
      </c>
      <c r="K55" s="6">
        <v>22</v>
      </c>
      <c r="L55" s="6">
        <v>12</v>
      </c>
      <c r="M55" s="14" t="s">
        <v>119</v>
      </c>
      <c r="N55" s="10" t="s">
        <v>24</v>
      </c>
      <c r="O55" s="15">
        <f t="shared" si="1"/>
        <v>536</v>
      </c>
    </row>
    <row r="56" spans="1:15" ht="19.5" customHeight="1">
      <c r="A56" s="19" t="s">
        <v>112</v>
      </c>
      <c r="B56" s="4" t="s">
        <v>121</v>
      </c>
      <c r="C56" s="5" t="s">
        <v>51</v>
      </c>
      <c r="D56" s="6">
        <v>60000</v>
      </c>
      <c r="E56" s="6">
        <v>720</v>
      </c>
      <c r="F56" s="7" t="s">
        <v>20</v>
      </c>
      <c r="G56" s="8" t="s">
        <v>21</v>
      </c>
      <c r="H56" s="8" t="s">
        <v>21</v>
      </c>
      <c r="I56" s="8" t="s">
        <v>22</v>
      </c>
      <c r="J56" s="6">
        <v>75</v>
      </c>
      <c r="K56" s="6">
        <v>48</v>
      </c>
      <c r="L56" s="6">
        <v>24</v>
      </c>
      <c r="M56" s="9" t="s">
        <v>122</v>
      </c>
      <c r="N56" s="10" t="s">
        <v>24</v>
      </c>
      <c r="O56" s="11">
        <f t="shared" si="1"/>
        <v>708</v>
      </c>
    </row>
    <row r="57" spans="1:15" ht="19.5" customHeight="1">
      <c r="A57" s="18" t="s">
        <v>112</v>
      </c>
      <c r="B57" s="13" t="s">
        <v>123</v>
      </c>
      <c r="C57" s="5" t="s">
        <v>124</v>
      </c>
      <c r="D57" s="6">
        <v>23500</v>
      </c>
      <c r="E57" s="6">
        <v>680</v>
      </c>
      <c r="F57" s="7" t="s">
        <v>20</v>
      </c>
      <c r="G57" s="8" t="s">
        <v>21</v>
      </c>
      <c r="H57" s="8" t="s">
        <v>21</v>
      </c>
      <c r="I57" s="8" t="s">
        <v>22</v>
      </c>
      <c r="J57" s="6">
        <v>75</v>
      </c>
      <c r="K57" s="6">
        <v>28</v>
      </c>
      <c r="L57" s="6">
        <v>30</v>
      </c>
      <c r="M57" s="14" t="s">
        <v>125</v>
      </c>
      <c r="N57" s="10" t="s">
        <v>24</v>
      </c>
      <c r="O57" s="15">
        <f t="shared" si="1"/>
        <v>682</v>
      </c>
    </row>
    <row r="58" spans="1:15" ht="19.5" customHeight="1">
      <c r="A58" s="19" t="s">
        <v>112</v>
      </c>
      <c r="B58" s="4" t="s">
        <v>123</v>
      </c>
      <c r="C58" s="5" t="s">
        <v>126</v>
      </c>
      <c r="D58" s="6">
        <v>28500</v>
      </c>
      <c r="E58" s="6">
        <v>630</v>
      </c>
      <c r="F58" s="7" t="s">
        <v>20</v>
      </c>
      <c r="G58" s="8" t="s">
        <v>21</v>
      </c>
      <c r="H58" s="8" t="s">
        <v>21</v>
      </c>
      <c r="I58" s="8" t="s">
        <v>22</v>
      </c>
      <c r="J58" s="6">
        <v>45</v>
      </c>
      <c r="K58" s="6">
        <v>42</v>
      </c>
      <c r="L58" s="6">
        <v>30</v>
      </c>
      <c r="M58" s="9" t="s">
        <v>125</v>
      </c>
      <c r="N58" s="10" t="s">
        <v>24</v>
      </c>
      <c r="O58" s="11">
        <f t="shared" si="1"/>
        <v>618</v>
      </c>
    </row>
    <row r="59" spans="1:15" ht="19.5" customHeight="1">
      <c r="A59" s="18" t="s">
        <v>97</v>
      </c>
      <c r="B59" s="13" t="s">
        <v>127</v>
      </c>
      <c r="C59" s="5" t="s">
        <v>128</v>
      </c>
      <c r="D59" s="6">
        <v>23000</v>
      </c>
      <c r="E59" s="6">
        <v>680</v>
      </c>
      <c r="F59" s="7" t="s">
        <v>20</v>
      </c>
      <c r="G59" s="8" t="s">
        <v>21</v>
      </c>
      <c r="H59" s="8" t="s">
        <v>21</v>
      </c>
      <c r="I59" s="8" t="s">
        <v>22</v>
      </c>
      <c r="J59" s="6">
        <v>85</v>
      </c>
      <c r="K59" s="6">
        <v>22</v>
      </c>
      <c r="L59" s="6">
        <v>28</v>
      </c>
      <c r="M59" s="14" t="s">
        <v>129</v>
      </c>
      <c r="N59" s="10" t="s">
        <v>24</v>
      </c>
      <c r="O59" s="15">
        <f t="shared" si="1"/>
        <v>680</v>
      </c>
    </row>
    <row r="60" spans="1:15" ht="19.5" customHeight="1">
      <c r="A60" s="19" t="s">
        <v>97</v>
      </c>
      <c r="B60" s="4" t="s">
        <v>127</v>
      </c>
      <c r="C60" s="5" t="s">
        <v>130</v>
      </c>
      <c r="D60" s="6">
        <v>23000</v>
      </c>
      <c r="E60" s="6">
        <v>820</v>
      </c>
      <c r="F60" s="7" t="s">
        <v>20</v>
      </c>
      <c r="G60" s="8" t="s">
        <v>21</v>
      </c>
      <c r="H60" s="8" t="s">
        <v>21</v>
      </c>
      <c r="I60" s="8" t="s">
        <v>22</v>
      </c>
      <c r="J60" s="6">
        <v>70</v>
      </c>
      <c r="K60" s="6">
        <v>35</v>
      </c>
      <c r="L60" s="6">
        <v>42</v>
      </c>
      <c r="M60" s="9" t="s">
        <v>129</v>
      </c>
      <c r="N60" s="10" t="s">
        <v>24</v>
      </c>
      <c r="O60" s="11">
        <f t="shared" si="1"/>
        <v>798</v>
      </c>
    </row>
    <row r="61" spans="1:15" ht="19.5" customHeight="1">
      <c r="A61" s="18" t="s">
        <v>97</v>
      </c>
      <c r="B61" s="13" t="s">
        <v>127</v>
      </c>
      <c r="C61" s="5" t="s">
        <v>131</v>
      </c>
      <c r="D61" s="6">
        <v>23000</v>
      </c>
      <c r="E61" s="6">
        <v>710</v>
      </c>
      <c r="F61" s="7" t="s">
        <v>20</v>
      </c>
      <c r="G61" s="8" t="s">
        <v>21</v>
      </c>
      <c r="H61" s="8" t="s">
        <v>21</v>
      </c>
      <c r="I61" s="8" t="s">
        <v>22</v>
      </c>
      <c r="J61" s="6">
        <v>85</v>
      </c>
      <c r="K61" s="6">
        <v>26</v>
      </c>
      <c r="L61" s="6">
        <v>30</v>
      </c>
      <c r="M61" s="14" t="s">
        <v>129</v>
      </c>
      <c r="N61" s="10" t="s">
        <v>24</v>
      </c>
      <c r="O61" s="15">
        <f t="shared" si="1"/>
        <v>714</v>
      </c>
    </row>
    <row r="62" spans="1:15" ht="19.5" customHeight="1">
      <c r="A62" s="19" t="s">
        <v>97</v>
      </c>
      <c r="B62" s="4" t="s">
        <v>132</v>
      </c>
      <c r="C62" s="5" t="s">
        <v>133</v>
      </c>
      <c r="D62" s="6">
        <v>15000</v>
      </c>
      <c r="E62" s="6">
        <v>700</v>
      </c>
      <c r="F62" s="7" t="s">
        <v>20</v>
      </c>
      <c r="G62" s="8" t="s">
        <v>21</v>
      </c>
      <c r="H62" s="8" t="s">
        <v>21</v>
      </c>
      <c r="I62" s="8" t="s">
        <v>22</v>
      </c>
      <c r="J62" s="6">
        <v>92</v>
      </c>
      <c r="K62" s="6">
        <v>22</v>
      </c>
      <c r="L62" s="6">
        <v>27</v>
      </c>
      <c r="M62" s="9" t="s">
        <v>134</v>
      </c>
      <c r="N62" s="10" t="s">
        <v>24</v>
      </c>
      <c r="O62" s="11">
        <f t="shared" si="1"/>
        <v>699</v>
      </c>
    </row>
    <row r="63" spans="1:15" ht="19.5" customHeight="1">
      <c r="A63" s="18" t="s">
        <v>97</v>
      </c>
      <c r="B63" s="13" t="s">
        <v>132</v>
      </c>
      <c r="C63" s="5" t="s">
        <v>135</v>
      </c>
      <c r="D63" s="6">
        <v>15000</v>
      </c>
      <c r="E63" s="6">
        <v>680</v>
      </c>
      <c r="F63" s="7" t="s">
        <v>20</v>
      </c>
      <c r="G63" s="8" t="s">
        <v>21</v>
      </c>
      <c r="H63" s="8" t="s">
        <v>21</v>
      </c>
      <c r="I63" s="8" t="s">
        <v>22</v>
      </c>
      <c r="J63" s="6">
        <v>80</v>
      </c>
      <c r="K63" s="6">
        <v>32</v>
      </c>
      <c r="L63" s="6">
        <v>26</v>
      </c>
      <c r="M63" s="14" t="s">
        <v>136</v>
      </c>
      <c r="N63" s="10" t="s">
        <v>24</v>
      </c>
      <c r="O63" s="15">
        <f t="shared" si="1"/>
        <v>682</v>
      </c>
    </row>
    <row r="64" spans="1:15" ht="19.5" customHeight="1">
      <c r="A64" s="19" t="s">
        <v>97</v>
      </c>
      <c r="B64" s="4" t="s">
        <v>137</v>
      </c>
      <c r="C64" s="20" t="s">
        <v>138</v>
      </c>
      <c r="D64" s="6">
        <v>10500</v>
      </c>
      <c r="E64" s="6">
        <v>515</v>
      </c>
      <c r="F64" s="7" t="s">
        <v>20</v>
      </c>
      <c r="G64" s="8" t="s">
        <v>21</v>
      </c>
      <c r="H64" s="8" t="s">
        <v>21</v>
      </c>
      <c r="I64" s="8" t="s">
        <v>22</v>
      </c>
      <c r="J64" s="6">
        <v>70</v>
      </c>
      <c r="K64" s="6">
        <v>22</v>
      </c>
      <c r="L64" s="6">
        <v>16</v>
      </c>
      <c r="M64" s="9" t="s">
        <v>139</v>
      </c>
      <c r="N64" s="10" t="s">
        <v>24</v>
      </c>
      <c r="O64" s="11">
        <f t="shared" si="1"/>
        <v>512</v>
      </c>
    </row>
    <row r="65" spans="1:15" ht="19.5" customHeight="1">
      <c r="A65" s="18" t="s">
        <v>97</v>
      </c>
      <c r="B65" s="13" t="s">
        <v>137</v>
      </c>
      <c r="C65" s="5" t="s">
        <v>140</v>
      </c>
      <c r="D65" s="6">
        <v>14000</v>
      </c>
      <c r="E65" s="6">
        <v>580</v>
      </c>
      <c r="F65" s="7" t="s">
        <v>20</v>
      </c>
      <c r="G65" s="8" t="s">
        <v>21</v>
      </c>
      <c r="H65" s="8" t="s">
        <v>21</v>
      </c>
      <c r="I65" s="8" t="s">
        <v>22</v>
      </c>
      <c r="J65" s="6">
        <v>90</v>
      </c>
      <c r="K65" s="6">
        <v>28</v>
      </c>
      <c r="L65" s="6">
        <v>12</v>
      </c>
      <c r="M65" s="14" t="s">
        <v>139</v>
      </c>
      <c r="N65" s="10" t="s">
        <v>24</v>
      </c>
      <c r="O65" s="15">
        <f t="shared" si="1"/>
        <v>580</v>
      </c>
    </row>
    <row r="66" spans="1:15" ht="19.5" customHeight="1">
      <c r="A66" s="19" t="s">
        <v>97</v>
      </c>
      <c r="B66" s="4" t="s">
        <v>137</v>
      </c>
      <c r="C66" s="5" t="s">
        <v>141</v>
      </c>
      <c r="D66" s="6">
        <v>14000</v>
      </c>
      <c r="E66" s="6">
        <v>720</v>
      </c>
      <c r="F66" s="7" t="s">
        <v>20</v>
      </c>
      <c r="G66" s="8" t="s">
        <v>21</v>
      </c>
      <c r="H66" s="8" t="s">
        <v>21</v>
      </c>
      <c r="I66" s="8" t="s">
        <v>22</v>
      </c>
      <c r="J66" s="6">
        <v>95</v>
      </c>
      <c r="K66" s="6">
        <v>30</v>
      </c>
      <c r="L66" s="6">
        <v>24</v>
      </c>
      <c r="M66" s="9" t="s">
        <v>139</v>
      </c>
      <c r="N66" s="10" t="s">
        <v>24</v>
      </c>
      <c r="O66" s="11">
        <f t="shared" si="1"/>
        <v>716</v>
      </c>
    </row>
    <row r="67" spans="1:15" ht="19.5" customHeight="1">
      <c r="A67" s="18" t="s">
        <v>97</v>
      </c>
      <c r="B67" s="13" t="s">
        <v>142</v>
      </c>
      <c r="C67" s="5" t="s">
        <v>143</v>
      </c>
      <c r="D67" s="6">
        <v>17500</v>
      </c>
      <c r="E67" s="6">
        <v>680</v>
      </c>
      <c r="F67" s="7" t="s">
        <v>20</v>
      </c>
      <c r="G67" s="8" t="s">
        <v>21</v>
      </c>
      <c r="H67" s="8" t="s">
        <v>21</v>
      </c>
      <c r="I67" s="8" t="s">
        <v>22</v>
      </c>
      <c r="J67" s="6">
        <v>55</v>
      </c>
      <c r="K67" s="6">
        <v>32</v>
      </c>
      <c r="L67" s="6">
        <v>36</v>
      </c>
      <c r="M67" s="14" t="s">
        <v>144</v>
      </c>
      <c r="N67" s="10" t="s">
        <v>24</v>
      </c>
      <c r="O67" s="15">
        <f t="shared" si="1"/>
        <v>672</v>
      </c>
    </row>
    <row r="68" spans="1:15" ht="19.5" customHeight="1">
      <c r="A68" s="19" t="s">
        <v>97</v>
      </c>
      <c r="B68" s="4" t="s">
        <v>145</v>
      </c>
      <c r="C68" s="20" t="s">
        <v>146</v>
      </c>
      <c r="D68" s="6">
        <v>12900</v>
      </c>
      <c r="E68" s="6">
        <v>490</v>
      </c>
      <c r="F68" s="7" t="s">
        <v>20</v>
      </c>
      <c r="G68" s="8" t="s">
        <v>21</v>
      </c>
      <c r="H68" s="8" t="s">
        <v>21</v>
      </c>
      <c r="I68" s="8" t="s">
        <v>22</v>
      </c>
      <c r="J68" s="6">
        <v>62</v>
      </c>
      <c r="K68" s="6">
        <v>20</v>
      </c>
      <c r="L68" s="6">
        <v>18</v>
      </c>
      <c r="M68" s="9" t="s">
        <v>147</v>
      </c>
      <c r="N68" s="10" t="s">
        <v>24</v>
      </c>
      <c r="O68" s="11">
        <f t="shared" ref="O68:O99" si="2">J68*4+K68*4+L68*9</f>
        <v>490</v>
      </c>
    </row>
    <row r="69" spans="1:15" ht="19.5" customHeight="1">
      <c r="A69" s="18" t="s">
        <v>97</v>
      </c>
      <c r="B69" s="13" t="s">
        <v>145</v>
      </c>
      <c r="C69" s="20" t="s">
        <v>148</v>
      </c>
      <c r="D69" s="6">
        <v>12500</v>
      </c>
      <c r="E69" s="6">
        <v>535</v>
      </c>
      <c r="F69" s="7" t="s">
        <v>20</v>
      </c>
      <c r="G69" s="8" t="s">
        <v>21</v>
      </c>
      <c r="H69" s="8" t="s">
        <v>21</v>
      </c>
      <c r="I69" s="8" t="s">
        <v>22</v>
      </c>
      <c r="J69" s="6">
        <v>60</v>
      </c>
      <c r="K69" s="6">
        <v>24</v>
      </c>
      <c r="L69" s="6">
        <v>22</v>
      </c>
      <c r="M69" s="14" t="s">
        <v>147</v>
      </c>
      <c r="N69" s="10" t="s">
        <v>24</v>
      </c>
      <c r="O69" s="15">
        <f t="shared" si="2"/>
        <v>534</v>
      </c>
    </row>
    <row r="70" spans="1:15" ht="19.5" customHeight="1">
      <c r="A70" s="19" t="s">
        <v>97</v>
      </c>
      <c r="B70" s="21" t="s">
        <v>149</v>
      </c>
      <c r="C70" s="5" t="s">
        <v>150</v>
      </c>
      <c r="D70" s="6">
        <v>10000</v>
      </c>
      <c r="E70" s="6">
        <v>580</v>
      </c>
      <c r="F70" s="7" t="s">
        <v>20</v>
      </c>
      <c r="G70" s="8" t="s">
        <v>21</v>
      </c>
      <c r="H70" s="8" t="s">
        <v>21</v>
      </c>
      <c r="I70" s="8" t="s">
        <v>21</v>
      </c>
      <c r="J70" s="6">
        <v>85</v>
      </c>
      <c r="K70" s="6">
        <v>22</v>
      </c>
      <c r="L70" s="6">
        <v>17</v>
      </c>
      <c r="M70" s="9" t="s">
        <v>151</v>
      </c>
      <c r="N70" s="10" t="s">
        <v>24</v>
      </c>
      <c r="O70" s="11">
        <f t="shared" si="2"/>
        <v>581</v>
      </c>
    </row>
    <row r="71" spans="1:15" ht="19.5" customHeight="1">
      <c r="A71" s="18" t="s">
        <v>97</v>
      </c>
      <c r="B71" s="13" t="s">
        <v>152</v>
      </c>
      <c r="C71" s="5" t="s">
        <v>153</v>
      </c>
      <c r="D71" s="6">
        <v>16000</v>
      </c>
      <c r="E71" s="6">
        <v>660</v>
      </c>
      <c r="F71" s="7" t="s">
        <v>20</v>
      </c>
      <c r="G71" s="8" t="s">
        <v>21</v>
      </c>
      <c r="H71" s="8" t="s">
        <v>21</v>
      </c>
      <c r="I71" s="8" t="s">
        <v>22</v>
      </c>
      <c r="J71" s="6">
        <v>90</v>
      </c>
      <c r="K71" s="6">
        <v>30</v>
      </c>
      <c r="L71" s="6">
        <v>20</v>
      </c>
      <c r="M71" s="14" t="s">
        <v>154</v>
      </c>
      <c r="N71" s="10" t="s">
        <v>24</v>
      </c>
      <c r="O71" s="15">
        <f t="shared" si="2"/>
        <v>660</v>
      </c>
    </row>
    <row r="72" spans="1:15" ht="19.5" customHeight="1">
      <c r="A72" s="19" t="s">
        <v>97</v>
      </c>
      <c r="B72" s="13" t="s">
        <v>152</v>
      </c>
      <c r="C72" s="5" t="s">
        <v>155</v>
      </c>
      <c r="D72" s="6">
        <v>15000</v>
      </c>
      <c r="E72" s="6">
        <v>710</v>
      </c>
      <c r="F72" s="7" t="s">
        <v>20</v>
      </c>
      <c r="G72" s="8" t="s">
        <v>21</v>
      </c>
      <c r="H72" s="8" t="s">
        <v>21</v>
      </c>
      <c r="I72" s="8" t="s">
        <v>22</v>
      </c>
      <c r="J72" s="6">
        <v>75</v>
      </c>
      <c r="K72" s="6">
        <v>35</v>
      </c>
      <c r="L72" s="6">
        <v>30</v>
      </c>
      <c r="M72" s="9" t="s">
        <v>156</v>
      </c>
      <c r="N72" s="10" t="s">
        <v>24</v>
      </c>
      <c r="O72" s="11">
        <f t="shared" si="2"/>
        <v>710</v>
      </c>
    </row>
    <row r="73" spans="1:15" ht="19.5" customHeight="1">
      <c r="A73" s="18" t="s">
        <v>97</v>
      </c>
      <c r="B73" s="13" t="s">
        <v>157</v>
      </c>
      <c r="C73" s="5" t="s">
        <v>158</v>
      </c>
      <c r="D73" s="6">
        <v>20000</v>
      </c>
      <c r="E73" s="6">
        <v>675</v>
      </c>
      <c r="F73" s="7" t="s">
        <v>20</v>
      </c>
      <c r="G73" s="8" t="s">
        <v>21</v>
      </c>
      <c r="H73" s="8" t="s">
        <v>21</v>
      </c>
      <c r="I73" s="8" t="s">
        <v>22</v>
      </c>
      <c r="J73" s="6">
        <v>90</v>
      </c>
      <c r="K73" s="6">
        <v>24</v>
      </c>
      <c r="L73" s="6">
        <v>24</v>
      </c>
      <c r="M73" s="14" t="s">
        <v>159</v>
      </c>
      <c r="N73" s="10" t="s">
        <v>24</v>
      </c>
      <c r="O73" s="15">
        <f t="shared" si="2"/>
        <v>672</v>
      </c>
    </row>
    <row r="74" spans="1:15" ht="19.5" customHeight="1">
      <c r="A74" s="19" t="s">
        <v>97</v>
      </c>
      <c r="B74" s="4" t="s">
        <v>157</v>
      </c>
      <c r="C74" s="5" t="s">
        <v>160</v>
      </c>
      <c r="D74" s="6">
        <v>14000</v>
      </c>
      <c r="E74" s="6">
        <v>690</v>
      </c>
      <c r="F74" s="7" t="s">
        <v>20</v>
      </c>
      <c r="G74" s="8" t="s">
        <v>21</v>
      </c>
      <c r="H74" s="8" t="s">
        <v>21</v>
      </c>
      <c r="I74" s="8" t="s">
        <v>22</v>
      </c>
      <c r="J74" s="6">
        <v>85</v>
      </c>
      <c r="K74" s="6">
        <v>20</v>
      </c>
      <c r="L74" s="6">
        <v>30</v>
      </c>
      <c r="M74" s="9" t="s">
        <v>159</v>
      </c>
      <c r="N74" s="10" t="s">
        <v>24</v>
      </c>
      <c r="O74" s="11">
        <f t="shared" si="2"/>
        <v>690</v>
      </c>
    </row>
    <row r="75" spans="1:15" ht="19.5" customHeight="1">
      <c r="A75" s="18" t="s">
        <v>97</v>
      </c>
      <c r="B75" s="13" t="s">
        <v>161</v>
      </c>
      <c r="C75" s="5" t="s">
        <v>162</v>
      </c>
      <c r="D75" s="6">
        <v>12900</v>
      </c>
      <c r="E75" s="6">
        <v>545</v>
      </c>
      <c r="F75" s="7" t="s">
        <v>20</v>
      </c>
      <c r="G75" s="8" t="s">
        <v>21</v>
      </c>
      <c r="H75" s="8" t="s">
        <v>21</v>
      </c>
      <c r="I75" s="8" t="s">
        <v>22</v>
      </c>
      <c r="J75" s="6">
        <v>70</v>
      </c>
      <c r="K75" s="6">
        <v>28</v>
      </c>
      <c r="L75" s="6">
        <v>17</v>
      </c>
      <c r="M75" s="14" t="s">
        <v>163</v>
      </c>
      <c r="N75" s="10" t="s">
        <v>24</v>
      </c>
      <c r="O75" s="15">
        <f t="shared" si="2"/>
        <v>545</v>
      </c>
    </row>
    <row r="76" spans="1:15" ht="19.5" customHeight="1">
      <c r="A76" s="19" t="s">
        <v>97</v>
      </c>
      <c r="B76" s="13" t="s">
        <v>161</v>
      </c>
      <c r="C76" s="5" t="s">
        <v>164</v>
      </c>
      <c r="D76" s="6">
        <v>10900</v>
      </c>
      <c r="E76" s="6">
        <v>480</v>
      </c>
      <c r="F76" s="7" t="s">
        <v>20</v>
      </c>
      <c r="G76" s="8" t="s">
        <v>21</v>
      </c>
      <c r="H76" s="8" t="s">
        <v>21</v>
      </c>
      <c r="I76" s="8" t="s">
        <v>22</v>
      </c>
      <c r="J76" s="6">
        <v>62</v>
      </c>
      <c r="K76" s="6">
        <v>35</v>
      </c>
      <c r="L76" s="6">
        <v>10</v>
      </c>
      <c r="M76" s="9" t="s">
        <v>163</v>
      </c>
      <c r="N76" s="10" t="s">
        <v>24</v>
      </c>
      <c r="O76" s="11">
        <f t="shared" si="2"/>
        <v>478</v>
      </c>
    </row>
    <row r="77" spans="1:15" ht="19.5" customHeight="1">
      <c r="A77" s="12" t="s">
        <v>63</v>
      </c>
      <c r="B77" s="13" t="s">
        <v>165</v>
      </c>
      <c r="C77" s="5" t="s">
        <v>166</v>
      </c>
      <c r="D77" s="6">
        <v>14800</v>
      </c>
      <c r="E77" s="6">
        <v>720</v>
      </c>
      <c r="F77" s="7" t="s">
        <v>20</v>
      </c>
      <c r="G77" s="8" t="s">
        <v>21</v>
      </c>
      <c r="H77" s="8" t="s">
        <v>21</v>
      </c>
      <c r="I77" s="8" t="s">
        <v>22</v>
      </c>
      <c r="J77" s="6">
        <v>60</v>
      </c>
      <c r="K77" s="6">
        <v>38</v>
      </c>
      <c r="L77" s="6">
        <v>36</v>
      </c>
      <c r="M77" s="14" t="s">
        <v>167</v>
      </c>
      <c r="N77" s="10" t="s">
        <v>24</v>
      </c>
      <c r="O77" s="15">
        <f t="shared" si="2"/>
        <v>716</v>
      </c>
    </row>
    <row r="78" spans="1:15" ht="19.5" customHeight="1">
      <c r="A78" s="3" t="s">
        <v>63</v>
      </c>
      <c r="B78" s="4" t="s">
        <v>165</v>
      </c>
      <c r="C78" s="5" t="s">
        <v>168</v>
      </c>
      <c r="D78" s="6">
        <v>15800</v>
      </c>
      <c r="E78" s="6">
        <v>555</v>
      </c>
      <c r="F78" s="7" t="s">
        <v>20</v>
      </c>
      <c r="G78" s="8" t="s">
        <v>21</v>
      </c>
      <c r="H78" s="8" t="s">
        <v>21</v>
      </c>
      <c r="I78" s="8" t="s">
        <v>22</v>
      </c>
      <c r="J78" s="6">
        <v>45</v>
      </c>
      <c r="K78" s="6">
        <v>30</v>
      </c>
      <c r="L78" s="6">
        <v>28</v>
      </c>
      <c r="M78" s="9" t="s">
        <v>167</v>
      </c>
      <c r="N78" s="10" t="s">
        <v>24</v>
      </c>
      <c r="O78" s="11">
        <f t="shared" si="2"/>
        <v>552</v>
      </c>
    </row>
    <row r="79" spans="1:15" ht="19.5" customHeight="1">
      <c r="A79" s="12" t="s">
        <v>169</v>
      </c>
      <c r="B79" s="5" t="s">
        <v>170</v>
      </c>
      <c r="C79" s="5" t="s">
        <v>171</v>
      </c>
      <c r="D79" s="6">
        <v>6500</v>
      </c>
      <c r="E79" s="6">
        <v>395</v>
      </c>
      <c r="F79" s="7" t="s">
        <v>20</v>
      </c>
      <c r="G79" s="8" t="s">
        <v>21</v>
      </c>
      <c r="H79" s="8" t="s">
        <v>21</v>
      </c>
      <c r="I79" s="8" t="s">
        <v>22</v>
      </c>
      <c r="J79" s="6">
        <v>45</v>
      </c>
      <c r="K79" s="6">
        <v>20</v>
      </c>
      <c r="L79" s="6">
        <v>15</v>
      </c>
      <c r="M79" s="14" t="s">
        <v>172</v>
      </c>
      <c r="N79" s="10" t="s">
        <v>24</v>
      </c>
      <c r="O79" s="15">
        <f t="shared" si="2"/>
        <v>395</v>
      </c>
    </row>
    <row r="80" spans="1:15" ht="19.5" customHeight="1">
      <c r="A80" s="3" t="s">
        <v>169</v>
      </c>
      <c r="B80" s="5" t="s">
        <v>170</v>
      </c>
      <c r="C80" s="5" t="s">
        <v>173</v>
      </c>
      <c r="D80" s="6">
        <v>6900</v>
      </c>
      <c r="E80" s="6">
        <v>480</v>
      </c>
      <c r="F80" s="7" t="s">
        <v>20</v>
      </c>
      <c r="G80" s="8" t="s">
        <v>21</v>
      </c>
      <c r="H80" s="8" t="s">
        <v>21</v>
      </c>
      <c r="I80" s="8" t="s">
        <v>22</v>
      </c>
      <c r="J80" s="6">
        <v>45</v>
      </c>
      <c r="K80" s="6">
        <v>18</v>
      </c>
      <c r="L80" s="6">
        <v>25</v>
      </c>
      <c r="M80" s="9" t="s">
        <v>172</v>
      </c>
      <c r="N80" s="10" t="s">
        <v>24</v>
      </c>
      <c r="O80" s="11">
        <f t="shared" si="2"/>
        <v>477</v>
      </c>
    </row>
    <row r="81" spans="1:15" ht="19.5" customHeight="1">
      <c r="A81" s="12" t="s">
        <v>169</v>
      </c>
      <c r="B81" s="5" t="s">
        <v>174</v>
      </c>
      <c r="C81" s="5" t="s">
        <v>175</v>
      </c>
      <c r="D81" s="6">
        <v>8500</v>
      </c>
      <c r="E81" s="6">
        <v>450</v>
      </c>
      <c r="F81" s="7" t="s">
        <v>20</v>
      </c>
      <c r="G81" s="8" t="s">
        <v>21</v>
      </c>
      <c r="H81" s="8" t="s">
        <v>21</v>
      </c>
      <c r="I81" s="8" t="s">
        <v>22</v>
      </c>
      <c r="J81" s="6">
        <v>38</v>
      </c>
      <c r="K81" s="6">
        <v>16</v>
      </c>
      <c r="L81" s="6">
        <v>26</v>
      </c>
      <c r="M81" s="14" t="s">
        <v>176</v>
      </c>
      <c r="N81" s="10" t="s">
        <v>24</v>
      </c>
      <c r="O81" s="15">
        <f t="shared" si="2"/>
        <v>450</v>
      </c>
    </row>
    <row r="82" spans="1:15" ht="19.5" customHeight="1">
      <c r="A82" s="3" t="s">
        <v>169</v>
      </c>
      <c r="B82" s="5" t="s">
        <v>174</v>
      </c>
      <c r="C82" s="5" t="s">
        <v>90</v>
      </c>
      <c r="D82" s="6">
        <v>8500</v>
      </c>
      <c r="E82" s="6">
        <v>555</v>
      </c>
      <c r="F82" s="7" t="s">
        <v>20</v>
      </c>
      <c r="G82" s="8" t="s">
        <v>21</v>
      </c>
      <c r="H82" s="8" t="s">
        <v>21</v>
      </c>
      <c r="I82" s="8" t="s">
        <v>22</v>
      </c>
      <c r="J82" s="6">
        <v>58</v>
      </c>
      <c r="K82" s="6">
        <v>22</v>
      </c>
      <c r="L82" s="6">
        <v>26</v>
      </c>
      <c r="M82" s="9" t="s">
        <v>177</v>
      </c>
      <c r="N82" s="10" t="s">
        <v>24</v>
      </c>
      <c r="O82" s="11">
        <f t="shared" si="2"/>
        <v>554</v>
      </c>
    </row>
    <row r="83" spans="1:15" ht="19.5" customHeight="1">
      <c r="A83" s="12" t="s">
        <v>169</v>
      </c>
      <c r="B83" s="5" t="s">
        <v>178</v>
      </c>
      <c r="C83" s="5" t="s">
        <v>179</v>
      </c>
      <c r="D83" s="6">
        <v>6900</v>
      </c>
      <c r="E83" s="6">
        <v>300</v>
      </c>
      <c r="F83" s="7" t="s">
        <v>37</v>
      </c>
      <c r="G83" s="8" t="s">
        <v>21</v>
      </c>
      <c r="H83" s="8" t="s">
        <v>21</v>
      </c>
      <c r="I83" s="8" t="s">
        <v>22</v>
      </c>
      <c r="J83" s="6">
        <v>41</v>
      </c>
      <c r="K83" s="6">
        <v>24</v>
      </c>
      <c r="L83" s="6">
        <v>5</v>
      </c>
      <c r="M83" s="14" t="s">
        <v>89</v>
      </c>
      <c r="N83" s="10" t="s">
        <v>24</v>
      </c>
      <c r="O83" s="15">
        <f t="shared" si="2"/>
        <v>305</v>
      </c>
    </row>
    <row r="84" spans="1:15" ht="19.5" customHeight="1">
      <c r="A84" s="3" t="s">
        <v>169</v>
      </c>
      <c r="B84" s="5" t="s">
        <v>178</v>
      </c>
      <c r="C84" s="5" t="s">
        <v>180</v>
      </c>
      <c r="D84" s="6">
        <v>7900</v>
      </c>
      <c r="E84" s="6">
        <v>230</v>
      </c>
      <c r="F84" s="7" t="s">
        <v>37</v>
      </c>
      <c r="G84" s="8" t="s">
        <v>21</v>
      </c>
      <c r="H84" s="8" t="s">
        <v>21</v>
      </c>
      <c r="I84" s="8" t="s">
        <v>22</v>
      </c>
      <c r="J84" s="6">
        <v>37</v>
      </c>
      <c r="K84" s="6">
        <v>15</v>
      </c>
      <c r="L84" s="6">
        <v>3</v>
      </c>
      <c r="M84" s="9" t="s">
        <v>89</v>
      </c>
      <c r="N84" s="10" t="s">
        <v>24</v>
      </c>
      <c r="O84" s="11">
        <f t="shared" si="2"/>
        <v>235</v>
      </c>
    </row>
    <row r="85" spans="1:15" ht="19.5" customHeight="1">
      <c r="A85" s="18" t="s">
        <v>181</v>
      </c>
      <c r="B85" s="13" t="s">
        <v>182</v>
      </c>
      <c r="C85" s="5" t="s">
        <v>183</v>
      </c>
      <c r="D85" s="6">
        <v>12500</v>
      </c>
      <c r="E85" s="6">
        <v>640</v>
      </c>
      <c r="F85" s="7" t="s">
        <v>20</v>
      </c>
      <c r="G85" s="8" t="s">
        <v>21</v>
      </c>
      <c r="H85" s="8" t="s">
        <v>21</v>
      </c>
      <c r="I85" s="8" t="s">
        <v>22</v>
      </c>
      <c r="J85" s="6">
        <v>95</v>
      </c>
      <c r="K85" s="6">
        <v>24</v>
      </c>
      <c r="L85" s="6">
        <v>18</v>
      </c>
      <c r="M85" s="14" t="s">
        <v>184</v>
      </c>
      <c r="N85" s="10" t="s">
        <v>24</v>
      </c>
      <c r="O85" s="15">
        <f t="shared" si="2"/>
        <v>638</v>
      </c>
    </row>
    <row r="86" spans="1:15" ht="19.5" customHeight="1">
      <c r="A86" s="18" t="s">
        <v>181</v>
      </c>
      <c r="B86" s="4" t="s">
        <v>182</v>
      </c>
      <c r="C86" s="5" t="s">
        <v>185</v>
      </c>
      <c r="D86" s="6">
        <v>12500</v>
      </c>
      <c r="E86" s="6">
        <v>475</v>
      </c>
      <c r="F86" s="7" t="s">
        <v>20</v>
      </c>
      <c r="G86" s="8" t="s">
        <v>21</v>
      </c>
      <c r="H86" s="8" t="s">
        <v>21</v>
      </c>
      <c r="I86" s="8" t="s">
        <v>22</v>
      </c>
      <c r="J86" s="6">
        <v>80</v>
      </c>
      <c r="K86" s="6">
        <v>20</v>
      </c>
      <c r="L86" s="6">
        <v>8</v>
      </c>
      <c r="M86" s="9" t="s">
        <v>186</v>
      </c>
      <c r="N86" s="10" t="s">
        <v>24</v>
      </c>
      <c r="O86" s="11">
        <f t="shared" si="2"/>
        <v>472</v>
      </c>
    </row>
    <row r="87" spans="1:15" ht="19.5" customHeight="1">
      <c r="A87" s="18" t="s">
        <v>91</v>
      </c>
      <c r="B87" s="13" t="s">
        <v>187</v>
      </c>
      <c r="C87" s="5" t="s">
        <v>188</v>
      </c>
      <c r="D87" s="6">
        <v>9500</v>
      </c>
      <c r="E87" s="6">
        <v>645</v>
      </c>
      <c r="F87" s="7" t="s">
        <v>20</v>
      </c>
      <c r="G87" s="8" t="s">
        <v>21</v>
      </c>
      <c r="H87" s="8" t="s">
        <v>21</v>
      </c>
      <c r="I87" s="8" t="s">
        <v>22</v>
      </c>
      <c r="J87" s="6">
        <v>120</v>
      </c>
      <c r="K87" s="6">
        <v>14</v>
      </c>
      <c r="L87" s="6">
        <v>12</v>
      </c>
      <c r="M87" s="14" t="s">
        <v>189</v>
      </c>
      <c r="N87" s="10" t="s">
        <v>24</v>
      </c>
      <c r="O87" s="15">
        <f t="shared" si="2"/>
        <v>644</v>
      </c>
    </row>
    <row r="88" spans="1:15" ht="19.5" customHeight="1">
      <c r="A88" s="19" t="s">
        <v>91</v>
      </c>
      <c r="B88" s="13" t="s">
        <v>187</v>
      </c>
      <c r="C88" s="5" t="s">
        <v>190</v>
      </c>
      <c r="D88" s="6">
        <v>9000</v>
      </c>
      <c r="E88" s="6">
        <v>695</v>
      </c>
      <c r="F88" s="7" t="s">
        <v>20</v>
      </c>
      <c r="G88" s="8" t="s">
        <v>21</v>
      </c>
      <c r="H88" s="8" t="s">
        <v>21</v>
      </c>
      <c r="I88" s="8" t="s">
        <v>22</v>
      </c>
      <c r="J88" s="6">
        <v>125</v>
      </c>
      <c r="K88" s="6">
        <v>15</v>
      </c>
      <c r="L88" s="6">
        <v>15</v>
      </c>
      <c r="M88" s="9" t="s">
        <v>189</v>
      </c>
      <c r="N88" s="10" t="s">
        <v>24</v>
      </c>
      <c r="O88" s="11">
        <f t="shared" si="2"/>
        <v>695</v>
      </c>
    </row>
    <row r="89" spans="1:15" ht="19.5" customHeight="1">
      <c r="A89" s="18" t="s">
        <v>181</v>
      </c>
      <c r="B89" s="13" t="s">
        <v>191</v>
      </c>
      <c r="C89" s="5" t="s">
        <v>192</v>
      </c>
      <c r="D89" s="6">
        <v>18000</v>
      </c>
      <c r="E89" s="6">
        <v>850</v>
      </c>
      <c r="F89" s="7" t="s">
        <v>20</v>
      </c>
      <c r="G89" s="8" t="s">
        <v>21</v>
      </c>
      <c r="H89" s="8" t="s">
        <v>21</v>
      </c>
      <c r="I89" s="8" t="s">
        <v>22</v>
      </c>
      <c r="J89" s="6">
        <v>80</v>
      </c>
      <c r="K89" s="6">
        <v>38</v>
      </c>
      <c r="L89" s="6">
        <v>42</v>
      </c>
      <c r="M89" s="14" t="s">
        <v>193</v>
      </c>
      <c r="N89" s="10" t="s">
        <v>24</v>
      </c>
      <c r="O89" s="15">
        <f t="shared" si="2"/>
        <v>850</v>
      </c>
    </row>
    <row r="90" spans="1:15" ht="19.5" customHeight="1">
      <c r="A90" s="19" t="s">
        <v>181</v>
      </c>
      <c r="B90" s="4" t="s">
        <v>191</v>
      </c>
      <c r="C90" s="5" t="s">
        <v>194</v>
      </c>
      <c r="D90" s="6">
        <v>12500</v>
      </c>
      <c r="E90" s="6">
        <v>680</v>
      </c>
      <c r="F90" s="7" t="s">
        <v>20</v>
      </c>
      <c r="G90" s="8" t="s">
        <v>21</v>
      </c>
      <c r="H90" s="8" t="s">
        <v>21</v>
      </c>
      <c r="I90" s="8" t="s">
        <v>22</v>
      </c>
      <c r="J90" s="6">
        <v>90</v>
      </c>
      <c r="K90" s="6">
        <v>22</v>
      </c>
      <c r="L90" s="6">
        <v>25</v>
      </c>
      <c r="M90" s="9" t="s">
        <v>193</v>
      </c>
      <c r="N90" s="10" t="s">
        <v>24</v>
      </c>
      <c r="O90" s="11">
        <f t="shared" si="2"/>
        <v>673</v>
      </c>
    </row>
    <row r="91" spans="1:15" ht="19.5" customHeight="1">
      <c r="A91" s="18" t="s">
        <v>181</v>
      </c>
      <c r="B91" s="13" t="s">
        <v>195</v>
      </c>
      <c r="C91" s="5" t="s">
        <v>196</v>
      </c>
      <c r="D91" s="6">
        <v>11900</v>
      </c>
      <c r="E91" s="6">
        <v>745</v>
      </c>
      <c r="F91" s="7" t="s">
        <v>20</v>
      </c>
      <c r="G91" s="8" t="s">
        <v>21</v>
      </c>
      <c r="H91" s="8" t="s">
        <v>21</v>
      </c>
      <c r="I91" s="8" t="s">
        <v>22</v>
      </c>
      <c r="J91" s="6">
        <v>70</v>
      </c>
      <c r="K91" s="6">
        <v>30</v>
      </c>
      <c r="L91" s="6">
        <v>38</v>
      </c>
      <c r="M91" s="14" t="s">
        <v>197</v>
      </c>
      <c r="N91" s="10" t="s">
        <v>24</v>
      </c>
      <c r="O91" s="15">
        <f t="shared" si="2"/>
        <v>742</v>
      </c>
    </row>
    <row r="92" spans="1:15" ht="19.5" customHeight="1">
      <c r="A92" s="19" t="s">
        <v>181</v>
      </c>
      <c r="B92" s="13" t="s">
        <v>195</v>
      </c>
      <c r="C92" s="5" t="s">
        <v>198</v>
      </c>
      <c r="D92" s="6">
        <v>13900</v>
      </c>
      <c r="E92" s="6">
        <v>720</v>
      </c>
      <c r="F92" s="7" t="s">
        <v>20</v>
      </c>
      <c r="G92" s="8" t="s">
        <v>21</v>
      </c>
      <c r="H92" s="8" t="s">
        <v>21</v>
      </c>
      <c r="I92" s="8" t="s">
        <v>22</v>
      </c>
      <c r="J92" s="6">
        <v>95</v>
      </c>
      <c r="K92" s="6">
        <v>24</v>
      </c>
      <c r="L92" s="6">
        <v>27</v>
      </c>
      <c r="M92" s="9" t="s">
        <v>197</v>
      </c>
      <c r="N92" s="10" t="s">
        <v>24</v>
      </c>
      <c r="O92" s="11">
        <f t="shared" si="2"/>
        <v>719</v>
      </c>
    </row>
    <row r="93" spans="1:15" ht="19.5" customHeight="1">
      <c r="A93" s="18" t="s">
        <v>199</v>
      </c>
      <c r="B93" s="13" t="s">
        <v>200</v>
      </c>
      <c r="C93" s="5" t="s">
        <v>201</v>
      </c>
      <c r="D93" s="6">
        <v>10000</v>
      </c>
      <c r="E93" s="6">
        <v>620</v>
      </c>
      <c r="F93" s="7" t="s">
        <v>20</v>
      </c>
      <c r="G93" s="8" t="s">
        <v>21</v>
      </c>
      <c r="H93" s="8" t="s">
        <v>21</v>
      </c>
      <c r="I93" s="8" t="s">
        <v>22</v>
      </c>
      <c r="J93" s="6">
        <v>85</v>
      </c>
      <c r="K93" s="6">
        <v>20</v>
      </c>
      <c r="L93" s="6">
        <v>22</v>
      </c>
      <c r="M93" s="14" t="s">
        <v>202</v>
      </c>
      <c r="N93" s="10" t="s">
        <v>24</v>
      </c>
      <c r="O93" s="15">
        <f t="shared" si="2"/>
        <v>618</v>
      </c>
    </row>
    <row r="94" spans="1:15" ht="19.5" customHeight="1">
      <c r="A94" s="19" t="s">
        <v>199</v>
      </c>
      <c r="B94" s="4" t="s">
        <v>200</v>
      </c>
      <c r="C94" s="5" t="s">
        <v>203</v>
      </c>
      <c r="D94" s="6">
        <v>10000</v>
      </c>
      <c r="E94" s="6">
        <v>650</v>
      </c>
      <c r="F94" s="7" t="s">
        <v>20</v>
      </c>
      <c r="G94" s="8" t="s">
        <v>21</v>
      </c>
      <c r="H94" s="8" t="s">
        <v>21</v>
      </c>
      <c r="I94" s="8" t="s">
        <v>22</v>
      </c>
      <c r="J94" s="6">
        <v>60</v>
      </c>
      <c r="K94" s="6">
        <v>30</v>
      </c>
      <c r="L94" s="6">
        <v>32</v>
      </c>
      <c r="M94" s="9" t="s">
        <v>202</v>
      </c>
      <c r="N94" s="10" t="s">
        <v>24</v>
      </c>
      <c r="O94" s="11">
        <f t="shared" si="2"/>
        <v>648</v>
      </c>
    </row>
    <row r="95" spans="1:15" ht="19.5" customHeight="1">
      <c r="A95" s="18" t="s">
        <v>199</v>
      </c>
      <c r="B95" s="13" t="s">
        <v>204</v>
      </c>
      <c r="C95" s="5" t="s">
        <v>205</v>
      </c>
      <c r="D95" s="6">
        <v>16000</v>
      </c>
      <c r="E95" s="6">
        <v>700</v>
      </c>
      <c r="F95" s="7" t="s">
        <v>20</v>
      </c>
      <c r="G95" s="8" t="s">
        <v>21</v>
      </c>
      <c r="H95" s="8" t="s">
        <v>21</v>
      </c>
      <c r="I95" s="8" t="s">
        <v>22</v>
      </c>
      <c r="J95" s="6">
        <v>85</v>
      </c>
      <c r="K95" s="6">
        <v>40</v>
      </c>
      <c r="L95" s="6">
        <v>22</v>
      </c>
      <c r="M95" s="14" t="s">
        <v>206</v>
      </c>
      <c r="N95" s="10" t="s">
        <v>24</v>
      </c>
      <c r="O95" s="15">
        <f t="shared" si="2"/>
        <v>698</v>
      </c>
    </row>
    <row r="96" spans="1:15" ht="19.5" customHeight="1">
      <c r="A96" s="19" t="s">
        <v>199</v>
      </c>
      <c r="B96" s="13" t="s">
        <v>204</v>
      </c>
      <c r="C96" s="5" t="s">
        <v>207</v>
      </c>
      <c r="D96" s="6">
        <v>13500</v>
      </c>
      <c r="E96" s="6">
        <v>700</v>
      </c>
      <c r="F96" s="7" t="s">
        <v>20</v>
      </c>
      <c r="G96" s="8" t="s">
        <v>21</v>
      </c>
      <c r="H96" s="8" t="s">
        <v>21</v>
      </c>
      <c r="I96" s="8" t="s">
        <v>22</v>
      </c>
      <c r="J96" s="6">
        <v>90</v>
      </c>
      <c r="K96" s="6">
        <v>22</v>
      </c>
      <c r="L96" s="6">
        <v>28</v>
      </c>
      <c r="M96" s="9" t="s">
        <v>206</v>
      </c>
      <c r="N96" s="10" t="s">
        <v>24</v>
      </c>
      <c r="O96" s="11">
        <f t="shared" si="2"/>
        <v>700</v>
      </c>
    </row>
    <row r="97" spans="1:15" ht="19.5" customHeight="1">
      <c r="A97" s="3" t="s">
        <v>208</v>
      </c>
      <c r="B97" s="13" t="s">
        <v>209</v>
      </c>
      <c r="C97" s="5" t="s">
        <v>210</v>
      </c>
      <c r="D97" s="6">
        <v>16000</v>
      </c>
      <c r="E97" s="6">
        <v>350</v>
      </c>
      <c r="F97" s="7" t="s">
        <v>20</v>
      </c>
      <c r="G97" s="8" t="s">
        <v>21</v>
      </c>
      <c r="H97" s="8" t="s">
        <v>21</v>
      </c>
      <c r="I97" s="8" t="s">
        <v>22</v>
      </c>
      <c r="J97" s="6">
        <v>70</v>
      </c>
      <c r="K97" s="6">
        <v>6</v>
      </c>
      <c r="L97" s="6">
        <v>5</v>
      </c>
      <c r="M97" s="14" t="s">
        <v>211</v>
      </c>
      <c r="N97" s="10" t="s">
        <v>24</v>
      </c>
      <c r="O97" s="15">
        <f t="shared" si="2"/>
        <v>349</v>
      </c>
    </row>
    <row r="98" spans="1:15" ht="19.5" customHeight="1">
      <c r="A98" s="19" t="s">
        <v>97</v>
      </c>
      <c r="B98" s="4" t="s">
        <v>212</v>
      </c>
      <c r="C98" s="5" t="s">
        <v>213</v>
      </c>
      <c r="D98" s="6">
        <v>9900</v>
      </c>
      <c r="E98" s="6">
        <v>485</v>
      </c>
      <c r="F98" s="7" t="s">
        <v>20</v>
      </c>
      <c r="G98" s="8" t="s">
        <v>21</v>
      </c>
      <c r="H98" s="8" t="s">
        <v>21</v>
      </c>
      <c r="I98" s="8" t="s">
        <v>22</v>
      </c>
      <c r="J98" s="6">
        <v>52</v>
      </c>
      <c r="K98" s="6">
        <v>6</v>
      </c>
      <c r="L98" s="6">
        <v>28</v>
      </c>
      <c r="M98" s="9" t="s">
        <v>214</v>
      </c>
      <c r="N98" s="10" t="s">
        <v>24</v>
      </c>
      <c r="O98" s="11">
        <f t="shared" si="2"/>
        <v>484</v>
      </c>
    </row>
    <row r="99" spans="1:15" ht="19.5" customHeight="1">
      <c r="A99" s="18" t="s">
        <v>97</v>
      </c>
      <c r="B99" s="13" t="s">
        <v>215</v>
      </c>
      <c r="C99" s="5" t="s">
        <v>216</v>
      </c>
      <c r="D99" s="6">
        <v>8900</v>
      </c>
      <c r="E99" s="6">
        <v>680</v>
      </c>
      <c r="F99" s="7" t="s">
        <v>20</v>
      </c>
      <c r="G99" s="8" t="s">
        <v>21</v>
      </c>
      <c r="H99" s="8" t="s">
        <v>21</v>
      </c>
      <c r="I99" s="8" t="s">
        <v>22</v>
      </c>
      <c r="J99" s="6">
        <v>52</v>
      </c>
      <c r="K99" s="6">
        <v>32</v>
      </c>
      <c r="L99" s="6">
        <v>38</v>
      </c>
      <c r="M99" s="14" t="s">
        <v>217</v>
      </c>
      <c r="N99" s="10" t="s">
        <v>24</v>
      </c>
      <c r="O99" s="15">
        <f t="shared" si="2"/>
        <v>678</v>
      </c>
    </row>
    <row r="100" spans="1:15" ht="19.5" customHeight="1">
      <c r="A100" s="19" t="s">
        <v>97</v>
      </c>
      <c r="B100" s="13" t="s">
        <v>215</v>
      </c>
      <c r="C100" s="5" t="s">
        <v>218</v>
      </c>
      <c r="D100" s="6">
        <v>11000</v>
      </c>
      <c r="E100" s="6">
        <v>850</v>
      </c>
      <c r="F100" s="7" t="s">
        <v>20</v>
      </c>
      <c r="G100" s="8" t="s">
        <v>21</v>
      </c>
      <c r="H100" s="8" t="s">
        <v>21</v>
      </c>
      <c r="I100" s="8" t="s">
        <v>22</v>
      </c>
      <c r="J100" s="6">
        <v>55</v>
      </c>
      <c r="K100" s="6">
        <v>42</v>
      </c>
      <c r="L100" s="6">
        <v>50</v>
      </c>
      <c r="M100" s="9" t="s">
        <v>217</v>
      </c>
      <c r="N100" s="10" t="s">
        <v>24</v>
      </c>
      <c r="O100" s="11">
        <f t="shared" ref="O100:O130" si="3">J100*4+K100*4+L100*9</f>
        <v>838</v>
      </c>
    </row>
    <row r="101" spans="1:15" ht="19.5" customHeight="1">
      <c r="A101" s="18" t="s">
        <v>97</v>
      </c>
      <c r="B101" s="13" t="s">
        <v>219</v>
      </c>
      <c r="C101" s="5" t="s">
        <v>220</v>
      </c>
      <c r="D101" s="6">
        <v>9000</v>
      </c>
      <c r="E101" s="6">
        <v>445</v>
      </c>
      <c r="F101" s="7" t="s">
        <v>20</v>
      </c>
      <c r="G101" s="8" t="s">
        <v>22</v>
      </c>
      <c r="H101" s="8" t="s">
        <v>21</v>
      </c>
      <c r="I101" s="8" t="s">
        <v>22</v>
      </c>
      <c r="J101" s="6">
        <v>15</v>
      </c>
      <c r="K101" s="6">
        <v>28</v>
      </c>
      <c r="L101" s="6">
        <v>30</v>
      </c>
      <c r="M101" s="14" t="s">
        <v>9</v>
      </c>
      <c r="N101" s="10" t="s">
        <v>24</v>
      </c>
      <c r="O101" s="15">
        <f t="shared" si="3"/>
        <v>442</v>
      </c>
    </row>
    <row r="102" spans="1:15" ht="19.5" customHeight="1">
      <c r="A102" s="18" t="s">
        <v>97</v>
      </c>
      <c r="B102" s="4" t="s">
        <v>221</v>
      </c>
      <c r="C102" s="5" t="s">
        <v>222</v>
      </c>
      <c r="D102" s="6">
        <v>6500</v>
      </c>
      <c r="E102" s="6">
        <v>460</v>
      </c>
      <c r="F102" s="7" t="s">
        <v>20</v>
      </c>
      <c r="G102" s="8" t="s">
        <v>21</v>
      </c>
      <c r="H102" s="8" t="s">
        <v>21</v>
      </c>
      <c r="I102" s="8" t="s">
        <v>22</v>
      </c>
      <c r="J102" s="6">
        <v>55</v>
      </c>
      <c r="K102" s="6">
        <v>28</v>
      </c>
      <c r="L102" s="6">
        <v>14</v>
      </c>
      <c r="M102" s="9" t="s">
        <v>223</v>
      </c>
      <c r="N102" s="10" t="s">
        <v>24</v>
      </c>
      <c r="O102" s="11">
        <f t="shared" si="3"/>
        <v>458</v>
      </c>
    </row>
    <row r="103" spans="1:15" ht="19.5" customHeight="1">
      <c r="A103" s="18" t="s">
        <v>91</v>
      </c>
      <c r="B103" s="13" t="s">
        <v>224</v>
      </c>
      <c r="C103" s="5" t="s">
        <v>225</v>
      </c>
      <c r="D103" s="6">
        <v>8500</v>
      </c>
      <c r="E103" s="6">
        <v>650</v>
      </c>
      <c r="F103" s="7" t="s">
        <v>20</v>
      </c>
      <c r="G103" s="8" t="s">
        <v>21</v>
      </c>
      <c r="H103" s="8" t="s">
        <v>21</v>
      </c>
      <c r="I103" s="8" t="s">
        <v>22</v>
      </c>
      <c r="J103" s="6">
        <v>75</v>
      </c>
      <c r="K103" s="6">
        <v>38</v>
      </c>
      <c r="L103" s="6">
        <v>22</v>
      </c>
      <c r="M103" s="14" t="s">
        <v>226</v>
      </c>
      <c r="N103" s="10" t="s">
        <v>24</v>
      </c>
      <c r="O103" s="15">
        <f t="shared" si="3"/>
        <v>650</v>
      </c>
    </row>
    <row r="104" spans="1:15" ht="19.5" customHeight="1">
      <c r="A104" s="19" t="s">
        <v>91</v>
      </c>
      <c r="B104" s="4" t="s">
        <v>224</v>
      </c>
      <c r="C104" s="5" t="s">
        <v>227</v>
      </c>
      <c r="D104" s="6">
        <v>9000</v>
      </c>
      <c r="E104" s="6">
        <v>570</v>
      </c>
      <c r="F104" s="7" t="s">
        <v>20</v>
      </c>
      <c r="G104" s="8" t="s">
        <v>21</v>
      </c>
      <c r="H104" s="8" t="s">
        <v>21</v>
      </c>
      <c r="I104" s="8" t="s">
        <v>22</v>
      </c>
      <c r="J104" s="6">
        <v>70</v>
      </c>
      <c r="K104" s="6">
        <v>32</v>
      </c>
      <c r="L104" s="6">
        <v>18</v>
      </c>
      <c r="M104" s="14" t="s">
        <v>226</v>
      </c>
      <c r="N104" s="10" t="s">
        <v>24</v>
      </c>
      <c r="O104" s="11">
        <f t="shared" si="3"/>
        <v>570</v>
      </c>
    </row>
    <row r="105" spans="1:15" ht="19.5" customHeight="1">
      <c r="A105" s="18" t="s">
        <v>91</v>
      </c>
      <c r="B105" s="13" t="s">
        <v>224</v>
      </c>
      <c r="C105" s="5" t="s">
        <v>228</v>
      </c>
      <c r="D105" s="6">
        <v>10000</v>
      </c>
      <c r="E105" s="6">
        <v>840</v>
      </c>
      <c r="F105" s="7" t="s">
        <v>20</v>
      </c>
      <c r="G105" s="8" t="s">
        <v>21</v>
      </c>
      <c r="H105" s="8" t="s">
        <v>21</v>
      </c>
      <c r="I105" s="8" t="s">
        <v>22</v>
      </c>
      <c r="J105" s="6">
        <v>100</v>
      </c>
      <c r="K105" s="6">
        <v>35</v>
      </c>
      <c r="L105" s="6">
        <v>33</v>
      </c>
      <c r="M105" s="14" t="s">
        <v>226</v>
      </c>
      <c r="N105" s="10" t="s">
        <v>24</v>
      </c>
      <c r="O105" s="15">
        <f t="shared" si="3"/>
        <v>837</v>
      </c>
    </row>
    <row r="106" spans="1:15" ht="19.5" customHeight="1">
      <c r="A106" s="18" t="s">
        <v>97</v>
      </c>
      <c r="B106" s="4" t="s">
        <v>113</v>
      </c>
      <c r="C106" s="5" t="s">
        <v>229</v>
      </c>
      <c r="D106" s="6">
        <v>11000</v>
      </c>
      <c r="E106" s="6">
        <v>610</v>
      </c>
      <c r="F106" s="7" t="s">
        <v>20</v>
      </c>
      <c r="G106" s="8" t="s">
        <v>21</v>
      </c>
      <c r="H106" s="8" t="s">
        <v>21</v>
      </c>
      <c r="I106" s="8" t="s">
        <v>21</v>
      </c>
      <c r="J106" s="6">
        <v>70</v>
      </c>
      <c r="K106" s="6">
        <v>42</v>
      </c>
      <c r="L106" s="6">
        <v>18</v>
      </c>
      <c r="M106" s="14" t="s">
        <v>226</v>
      </c>
      <c r="N106" s="10" t="s">
        <v>24</v>
      </c>
      <c r="O106" s="11">
        <f t="shared" si="3"/>
        <v>610</v>
      </c>
    </row>
    <row r="107" spans="1:15" ht="19.5" customHeight="1">
      <c r="A107" s="18" t="s">
        <v>230</v>
      </c>
      <c r="B107" s="13" t="s">
        <v>231</v>
      </c>
      <c r="C107" s="5" t="s">
        <v>232</v>
      </c>
      <c r="D107" s="6">
        <v>4700</v>
      </c>
      <c r="E107" s="6">
        <v>456</v>
      </c>
      <c r="F107" s="7" t="s">
        <v>233</v>
      </c>
      <c r="G107" s="8" t="s">
        <v>21</v>
      </c>
      <c r="H107" s="8" t="s">
        <v>21</v>
      </c>
      <c r="I107" s="8" t="s">
        <v>21</v>
      </c>
      <c r="J107" s="6">
        <v>78</v>
      </c>
      <c r="K107" s="6">
        <v>10</v>
      </c>
      <c r="L107" s="6">
        <v>11.4</v>
      </c>
      <c r="M107" s="14" t="s">
        <v>234</v>
      </c>
      <c r="N107" s="10" t="s">
        <v>24</v>
      </c>
      <c r="O107" s="15">
        <f t="shared" si="3"/>
        <v>454.6</v>
      </c>
    </row>
    <row r="108" spans="1:15" ht="19.5" customHeight="1">
      <c r="A108" s="18" t="s">
        <v>230</v>
      </c>
      <c r="B108" s="13" t="s">
        <v>231</v>
      </c>
      <c r="C108" s="5" t="s">
        <v>235</v>
      </c>
      <c r="D108" s="6">
        <v>5500</v>
      </c>
      <c r="E108" s="6">
        <v>632</v>
      </c>
      <c r="F108" s="7" t="s">
        <v>233</v>
      </c>
      <c r="G108" s="8" t="s">
        <v>21</v>
      </c>
      <c r="H108" s="8" t="s">
        <v>21</v>
      </c>
      <c r="I108" s="8" t="s">
        <v>21</v>
      </c>
      <c r="J108" s="6">
        <v>90</v>
      </c>
      <c r="K108" s="6">
        <v>32</v>
      </c>
      <c r="L108" s="6">
        <v>16</v>
      </c>
      <c r="M108" s="14" t="s">
        <v>234</v>
      </c>
      <c r="N108" s="10" t="s">
        <v>24</v>
      </c>
      <c r="O108" s="15">
        <f t="shared" si="3"/>
        <v>632</v>
      </c>
    </row>
    <row r="109" spans="1:15" ht="19.5" customHeight="1">
      <c r="A109" s="18" t="s">
        <v>230</v>
      </c>
      <c r="B109" s="13" t="s">
        <v>231</v>
      </c>
      <c r="C109" s="5" t="s">
        <v>236</v>
      </c>
      <c r="D109" s="6">
        <v>4200</v>
      </c>
      <c r="E109" s="6">
        <v>267</v>
      </c>
      <c r="F109" s="7" t="s">
        <v>233</v>
      </c>
      <c r="G109" s="8" t="s">
        <v>21</v>
      </c>
      <c r="H109" s="8" t="s">
        <v>21</v>
      </c>
      <c r="I109" s="8" t="s">
        <v>21</v>
      </c>
      <c r="J109" s="6">
        <v>38</v>
      </c>
      <c r="K109" s="6">
        <v>13</v>
      </c>
      <c r="L109" s="6">
        <v>7</v>
      </c>
      <c r="M109" s="14" t="s">
        <v>237</v>
      </c>
      <c r="N109" s="10" t="s">
        <v>24</v>
      </c>
      <c r="O109" s="15">
        <f t="shared" si="3"/>
        <v>267</v>
      </c>
    </row>
    <row r="110" spans="1:15" ht="19.5" customHeight="1">
      <c r="A110" s="18" t="s">
        <v>230</v>
      </c>
      <c r="B110" s="13" t="s">
        <v>231</v>
      </c>
      <c r="C110" s="5" t="s">
        <v>238</v>
      </c>
      <c r="D110" s="6">
        <v>5500</v>
      </c>
      <c r="E110" s="6">
        <v>530</v>
      </c>
      <c r="F110" s="7" t="s">
        <v>233</v>
      </c>
      <c r="G110" s="8" t="s">
        <v>21</v>
      </c>
      <c r="H110" s="8" t="s">
        <v>21</v>
      </c>
      <c r="I110" s="8" t="s">
        <v>21</v>
      </c>
      <c r="J110" s="6">
        <v>109</v>
      </c>
      <c r="K110" s="6">
        <v>10</v>
      </c>
      <c r="L110" s="6">
        <v>6</v>
      </c>
      <c r="M110" s="14" t="s">
        <v>234</v>
      </c>
      <c r="N110" s="10" t="s">
        <v>24</v>
      </c>
      <c r="O110" s="15">
        <f t="shared" si="3"/>
        <v>530</v>
      </c>
    </row>
    <row r="111" spans="1:15" ht="19.5" customHeight="1">
      <c r="A111" s="18" t="s">
        <v>230</v>
      </c>
      <c r="B111" s="13" t="s">
        <v>231</v>
      </c>
      <c r="C111" s="5" t="s">
        <v>239</v>
      </c>
      <c r="D111" s="6">
        <v>3700</v>
      </c>
      <c r="E111" s="6">
        <v>693</v>
      </c>
      <c r="F111" s="7" t="s">
        <v>233</v>
      </c>
      <c r="G111" s="8" t="s">
        <v>21</v>
      </c>
      <c r="H111" s="8" t="s">
        <v>21</v>
      </c>
      <c r="I111" s="8" t="s">
        <v>21</v>
      </c>
      <c r="J111" s="6">
        <v>136</v>
      </c>
      <c r="K111" s="6">
        <v>15</v>
      </c>
      <c r="L111" s="6">
        <v>9.3000000000000007</v>
      </c>
      <c r="M111" s="14" t="s">
        <v>234</v>
      </c>
      <c r="N111" s="10" t="s">
        <v>24</v>
      </c>
      <c r="O111" s="15">
        <f t="shared" si="3"/>
        <v>687.7</v>
      </c>
    </row>
    <row r="112" spans="1:15" ht="19.5" customHeight="1">
      <c r="A112" s="19" t="s">
        <v>63</v>
      </c>
      <c r="B112" s="4" t="s">
        <v>240</v>
      </c>
      <c r="C112" s="5" t="s">
        <v>241</v>
      </c>
      <c r="D112" s="6">
        <v>2200</v>
      </c>
      <c r="E112" s="6">
        <v>340</v>
      </c>
      <c r="F112" s="7" t="s">
        <v>233</v>
      </c>
      <c r="G112" s="8" t="s">
        <v>21</v>
      </c>
      <c r="H112" s="8" t="s">
        <v>21</v>
      </c>
      <c r="I112" s="8" t="s">
        <v>21</v>
      </c>
      <c r="J112" s="6">
        <v>28</v>
      </c>
      <c r="K112" s="6">
        <v>12</v>
      </c>
      <c r="L112" s="6">
        <v>20</v>
      </c>
      <c r="M112" s="14" t="s">
        <v>237</v>
      </c>
      <c r="N112" s="10" t="s">
        <v>24</v>
      </c>
      <c r="O112" s="11">
        <f t="shared" si="3"/>
        <v>340</v>
      </c>
    </row>
    <row r="113" spans="1:15" ht="19.5" customHeight="1">
      <c r="A113" s="19" t="s">
        <v>63</v>
      </c>
      <c r="B113" s="4" t="s">
        <v>240</v>
      </c>
      <c r="C113" s="5" t="s">
        <v>242</v>
      </c>
      <c r="D113" s="6">
        <v>3300</v>
      </c>
      <c r="E113" s="6">
        <v>515</v>
      </c>
      <c r="F113" s="7" t="s">
        <v>233</v>
      </c>
      <c r="G113" s="8" t="s">
        <v>21</v>
      </c>
      <c r="H113" s="8" t="s">
        <v>21</v>
      </c>
      <c r="I113" s="8" t="s">
        <v>21</v>
      </c>
      <c r="J113" s="6">
        <v>59</v>
      </c>
      <c r="K113" s="6">
        <v>18</v>
      </c>
      <c r="L113" s="6">
        <v>23</v>
      </c>
      <c r="M113" s="14" t="s">
        <v>234</v>
      </c>
      <c r="N113" s="10" t="s">
        <v>24</v>
      </c>
      <c r="O113" s="11">
        <f t="shared" si="3"/>
        <v>515</v>
      </c>
    </row>
    <row r="114" spans="1:15" ht="19.5" customHeight="1">
      <c r="A114" s="19" t="s">
        <v>63</v>
      </c>
      <c r="B114" s="4" t="s">
        <v>240</v>
      </c>
      <c r="C114" s="5" t="s">
        <v>243</v>
      </c>
      <c r="D114" s="6">
        <v>2300</v>
      </c>
      <c r="E114" s="6">
        <v>280</v>
      </c>
      <c r="F114" s="7" t="s">
        <v>233</v>
      </c>
      <c r="G114" s="8" t="s">
        <v>21</v>
      </c>
      <c r="H114" s="8" t="s">
        <v>21</v>
      </c>
      <c r="I114" s="8" t="s">
        <v>21</v>
      </c>
      <c r="J114" s="6">
        <v>57</v>
      </c>
      <c r="K114" s="6">
        <v>8</v>
      </c>
      <c r="L114" s="6">
        <v>2.1</v>
      </c>
      <c r="M114" s="14" t="s">
        <v>244</v>
      </c>
      <c r="N114" s="10" t="s">
        <v>24</v>
      </c>
      <c r="O114" s="11">
        <f t="shared" si="3"/>
        <v>278.89999999999998</v>
      </c>
    </row>
    <row r="115" spans="1:15" ht="19.5" customHeight="1">
      <c r="A115" s="19" t="s">
        <v>63</v>
      </c>
      <c r="B115" s="4" t="s">
        <v>240</v>
      </c>
      <c r="C115" s="5" t="s">
        <v>245</v>
      </c>
      <c r="D115" s="6">
        <v>5900</v>
      </c>
      <c r="E115" s="6">
        <v>615</v>
      </c>
      <c r="F115" s="7" t="s">
        <v>233</v>
      </c>
      <c r="G115" s="8" t="s">
        <v>21</v>
      </c>
      <c r="H115" s="8" t="s">
        <v>21</v>
      </c>
      <c r="I115" s="8" t="s">
        <v>21</v>
      </c>
      <c r="J115" s="6">
        <v>70</v>
      </c>
      <c r="K115" s="6">
        <v>18</v>
      </c>
      <c r="L115" s="6">
        <v>29</v>
      </c>
      <c r="M115" s="14" t="s">
        <v>234</v>
      </c>
      <c r="N115" s="10" t="s">
        <v>24</v>
      </c>
      <c r="O115" s="11">
        <f t="shared" si="3"/>
        <v>613</v>
      </c>
    </row>
    <row r="116" spans="1:15" ht="19.5" customHeight="1">
      <c r="A116" s="19" t="s">
        <v>63</v>
      </c>
      <c r="B116" s="4" t="s">
        <v>240</v>
      </c>
      <c r="C116" s="5" t="s">
        <v>246</v>
      </c>
      <c r="D116" s="6">
        <v>3600</v>
      </c>
      <c r="E116" s="6">
        <v>430</v>
      </c>
      <c r="F116" s="7" t="s">
        <v>233</v>
      </c>
      <c r="G116" s="8" t="s">
        <v>21</v>
      </c>
      <c r="H116" s="8" t="s">
        <v>21</v>
      </c>
      <c r="I116" s="8" t="s">
        <v>21</v>
      </c>
      <c r="J116" s="6">
        <v>45</v>
      </c>
      <c r="K116" s="6">
        <v>19</v>
      </c>
      <c r="L116" s="6">
        <v>19</v>
      </c>
      <c r="M116" s="14" t="s">
        <v>244</v>
      </c>
      <c r="N116" s="10" t="s">
        <v>24</v>
      </c>
      <c r="O116" s="11">
        <f t="shared" si="3"/>
        <v>427</v>
      </c>
    </row>
    <row r="117" spans="1:15" ht="19.5" customHeight="1">
      <c r="A117" s="19" t="s">
        <v>63</v>
      </c>
      <c r="B117" s="4" t="s">
        <v>240</v>
      </c>
      <c r="C117" s="5" t="s">
        <v>247</v>
      </c>
      <c r="D117" s="6">
        <v>3200</v>
      </c>
      <c r="E117" s="6">
        <v>415</v>
      </c>
      <c r="F117" s="7" t="s">
        <v>233</v>
      </c>
      <c r="G117" s="8" t="s">
        <v>21</v>
      </c>
      <c r="H117" s="8" t="s">
        <v>21</v>
      </c>
      <c r="I117" s="8" t="s">
        <v>21</v>
      </c>
      <c r="J117" s="6">
        <v>60</v>
      </c>
      <c r="K117" s="6">
        <v>12</v>
      </c>
      <c r="L117" s="6">
        <v>14</v>
      </c>
      <c r="M117" s="14" t="s">
        <v>234</v>
      </c>
      <c r="N117" s="10" t="s">
        <v>24</v>
      </c>
      <c r="O117" s="11">
        <f t="shared" si="3"/>
        <v>414</v>
      </c>
    </row>
    <row r="118" spans="1:15" ht="19.5" customHeight="1">
      <c r="A118" s="18" t="s">
        <v>54</v>
      </c>
      <c r="B118" s="13" t="s">
        <v>248</v>
      </c>
      <c r="C118" s="5" t="s">
        <v>249</v>
      </c>
      <c r="D118" s="6">
        <v>6500</v>
      </c>
      <c r="E118" s="6">
        <v>871</v>
      </c>
      <c r="F118" s="7" t="s">
        <v>233</v>
      </c>
      <c r="G118" s="8" t="s">
        <v>21</v>
      </c>
      <c r="H118" s="8" t="s">
        <v>21</v>
      </c>
      <c r="I118" s="8" t="s">
        <v>21</v>
      </c>
      <c r="J118" s="6">
        <v>106</v>
      </c>
      <c r="K118" s="6">
        <v>33</v>
      </c>
      <c r="L118" s="6">
        <v>35</v>
      </c>
      <c r="M118" s="14" t="s">
        <v>234</v>
      </c>
      <c r="N118" s="10" t="s">
        <v>24</v>
      </c>
      <c r="O118" s="15">
        <f t="shared" si="3"/>
        <v>871</v>
      </c>
    </row>
    <row r="119" spans="1:15" ht="19.5" customHeight="1">
      <c r="A119" s="18" t="s">
        <v>54</v>
      </c>
      <c r="B119" s="13" t="s">
        <v>248</v>
      </c>
      <c r="C119" s="5" t="s">
        <v>250</v>
      </c>
      <c r="D119" s="6">
        <v>4900</v>
      </c>
      <c r="E119" s="6">
        <v>606</v>
      </c>
      <c r="F119" s="7" t="s">
        <v>233</v>
      </c>
      <c r="G119" s="8" t="s">
        <v>21</v>
      </c>
      <c r="H119" s="8" t="s">
        <v>21</v>
      </c>
      <c r="I119" s="8" t="s">
        <v>21</v>
      </c>
      <c r="J119" s="6">
        <v>57</v>
      </c>
      <c r="K119" s="6">
        <v>18</v>
      </c>
      <c r="L119" s="6">
        <v>34</v>
      </c>
      <c r="M119" s="14" t="s">
        <v>244</v>
      </c>
      <c r="N119" s="10" t="s">
        <v>24</v>
      </c>
      <c r="O119" s="15">
        <f t="shared" si="3"/>
        <v>606</v>
      </c>
    </row>
    <row r="120" spans="1:15" ht="19.5" customHeight="1">
      <c r="A120" s="18" t="s">
        <v>54</v>
      </c>
      <c r="B120" s="13" t="s">
        <v>248</v>
      </c>
      <c r="C120" s="5" t="s">
        <v>251</v>
      </c>
      <c r="D120" s="6">
        <v>3800</v>
      </c>
      <c r="E120" s="6">
        <v>591</v>
      </c>
      <c r="F120" s="7" t="s">
        <v>233</v>
      </c>
      <c r="G120" s="8" t="s">
        <v>21</v>
      </c>
      <c r="H120" s="8" t="s">
        <v>21</v>
      </c>
      <c r="I120" s="8" t="s">
        <v>21</v>
      </c>
      <c r="J120" s="6">
        <v>54</v>
      </c>
      <c r="K120" s="6">
        <v>15</v>
      </c>
      <c r="L120" s="6">
        <v>35</v>
      </c>
      <c r="M120" s="14" t="s">
        <v>234</v>
      </c>
      <c r="N120" s="10" t="s">
        <v>24</v>
      </c>
      <c r="O120" s="15">
        <f t="shared" si="3"/>
        <v>591</v>
      </c>
    </row>
    <row r="121" spans="1:15" ht="19.5" customHeight="1">
      <c r="A121" s="18" t="s">
        <v>54</v>
      </c>
      <c r="B121" s="13" t="s">
        <v>248</v>
      </c>
      <c r="C121" s="5" t="s">
        <v>252</v>
      </c>
      <c r="D121" s="6">
        <v>5900</v>
      </c>
      <c r="E121" s="6">
        <v>331.7</v>
      </c>
      <c r="F121" s="7" t="s">
        <v>233</v>
      </c>
      <c r="G121" s="8" t="s">
        <v>21</v>
      </c>
      <c r="H121" s="8" t="s">
        <v>21</v>
      </c>
      <c r="I121" s="8" t="s">
        <v>21</v>
      </c>
      <c r="J121" s="6">
        <v>25</v>
      </c>
      <c r="K121" s="6">
        <v>21</v>
      </c>
      <c r="L121" s="6">
        <v>16.5</v>
      </c>
      <c r="M121" s="14" t="s">
        <v>237</v>
      </c>
      <c r="N121" s="10" t="s">
        <v>24</v>
      </c>
      <c r="O121" s="15">
        <f t="shared" si="3"/>
        <v>332.5</v>
      </c>
    </row>
    <row r="122" spans="1:15" ht="19.5" customHeight="1">
      <c r="A122" s="18" t="s">
        <v>54</v>
      </c>
      <c r="B122" s="13" t="s">
        <v>248</v>
      </c>
      <c r="C122" s="5" t="s">
        <v>253</v>
      </c>
      <c r="D122" s="6">
        <v>3500</v>
      </c>
      <c r="E122" s="6">
        <v>455</v>
      </c>
      <c r="F122" s="7" t="s">
        <v>233</v>
      </c>
      <c r="G122" s="8" t="s">
        <v>21</v>
      </c>
      <c r="H122" s="8" t="s">
        <v>21</v>
      </c>
      <c r="I122" s="8" t="s">
        <v>21</v>
      </c>
      <c r="J122" s="6">
        <v>54</v>
      </c>
      <c r="K122" s="6">
        <v>14.8</v>
      </c>
      <c r="L122" s="6">
        <v>20</v>
      </c>
      <c r="M122" s="14" t="s">
        <v>234</v>
      </c>
      <c r="N122" s="10" t="s">
        <v>24</v>
      </c>
      <c r="O122" s="15">
        <f t="shared" si="3"/>
        <v>455.2</v>
      </c>
    </row>
    <row r="123" spans="1:15" ht="19.5" customHeight="1">
      <c r="A123" s="18" t="s">
        <v>54</v>
      </c>
      <c r="B123" s="13" t="s">
        <v>248</v>
      </c>
      <c r="C123" s="5" t="s">
        <v>254</v>
      </c>
      <c r="D123" s="6">
        <v>3200</v>
      </c>
      <c r="E123" s="6">
        <v>439</v>
      </c>
      <c r="F123" s="7" t="s">
        <v>233</v>
      </c>
      <c r="G123" s="8" t="s">
        <v>21</v>
      </c>
      <c r="H123" s="8" t="s">
        <v>21</v>
      </c>
      <c r="I123" s="8" t="s">
        <v>21</v>
      </c>
      <c r="J123" s="6">
        <v>62</v>
      </c>
      <c r="K123" s="6">
        <v>16</v>
      </c>
      <c r="L123" s="6">
        <v>14</v>
      </c>
      <c r="M123" s="14" t="s">
        <v>244</v>
      </c>
      <c r="N123" s="10" t="s">
        <v>24</v>
      </c>
      <c r="O123" s="15">
        <f t="shared" si="3"/>
        <v>438</v>
      </c>
    </row>
    <row r="124" spans="1:15" ht="19.5" customHeight="1">
      <c r="A124" s="18" t="s">
        <v>54</v>
      </c>
      <c r="B124" s="13" t="s">
        <v>248</v>
      </c>
      <c r="C124" s="5" t="s">
        <v>255</v>
      </c>
      <c r="D124" s="6">
        <v>3600</v>
      </c>
      <c r="E124" s="6">
        <v>427</v>
      </c>
      <c r="F124" s="7" t="s">
        <v>233</v>
      </c>
      <c r="G124" s="8" t="s">
        <v>21</v>
      </c>
      <c r="H124" s="8" t="s">
        <v>21</v>
      </c>
      <c r="I124" s="8" t="s">
        <v>21</v>
      </c>
      <c r="J124" s="6">
        <v>45</v>
      </c>
      <c r="K124" s="6">
        <v>10</v>
      </c>
      <c r="L124" s="6">
        <v>23</v>
      </c>
      <c r="M124" s="14" t="s">
        <v>244</v>
      </c>
      <c r="N124" s="10" t="s">
        <v>24</v>
      </c>
      <c r="O124" s="15">
        <f t="shared" si="3"/>
        <v>427</v>
      </c>
    </row>
    <row r="125" spans="1:15" ht="19.5" customHeight="1">
      <c r="A125" s="18" t="s">
        <v>54</v>
      </c>
      <c r="B125" s="13" t="s">
        <v>248</v>
      </c>
      <c r="C125" s="5" t="s">
        <v>256</v>
      </c>
      <c r="D125" s="6">
        <v>3900</v>
      </c>
      <c r="E125" s="6">
        <v>354</v>
      </c>
      <c r="F125" s="7" t="s">
        <v>233</v>
      </c>
      <c r="G125" s="8" t="s">
        <v>21</v>
      </c>
      <c r="H125" s="8" t="s">
        <v>21</v>
      </c>
      <c r="I125" s="8" t="s">
        <v>21</v>
      </c>
      <c r="J125" s="6">
        <v>70</v>
      </c>
      <c r="K125" s="6">
        <v>4</v>
      </c>
      <c r="L125" s="6">
        <v>6</v>
      </c>
      <c r="M125" s="14" t="s">
        <v>244</v>
      </c>
      <c r="N125" s="10" t="s">
        <v>24</v>
      </c>
      <c r="O125" s="15">
        <f t="shared" si="3"/>
        <v>350</v>
      </c>
    </row>
    <row r="126" spans="1:15" ht="19.5" customHeight="1">
      <c r="A126" s="19" t="s">
        <v>112</v>
      </c>
      <c r="B126" s="4" t="s">
        <v>257</v>
      </c>
      <c r="C126" s="5" t="s">
        <v>258</v>
      </c>
      <c r="D126" s="6">
        <v>12900</v>
      </c>
      <c r="E126" s="6">
        <v>536.29999999999995</v>
      </c>
      <c r="F126" s="7" t="s">
        <v>233</v>
      </c>
      <c r="G126" s="8" t="s">
        <v>21</v>
      </c>
      <c r="H126" s="8" t="s">
        <v>21</v>
      </c>
      <c r="I126" s="8" t="s">
        <v>22</v>
      </c>
      <c r="J126" s="6">
        <v>52.8</v>
      </c>
      <c r="K126" s="6">
        <v>30.5</v>
      </c>
      <c r="L126" s="6">
        <v>9</v>
      </c>
      <c r="M126" s="14" t="s">
        <v>259</v>
      </c>
      <c r="N126" s="10" t="s">
        <v>24</v>
      </c>
      <c r="O126" s="11">
        <f t="shared" si="3"/>
        <v>414.2</v>
      </c>
    </row>
    <row r="127" spans="1:15" ht="19.5" customHeight="1">
      <c r="A127" s="19" t="s">
        <v>112</v>
      </c>
      <c r="B127" s="4" t="s">
        <v>257</v>
      </c>
      <c r="C127" s="5" t="s">
        <v>260</v>
      </c>
      <c r="D127" s="6">
        <v>12500</v>
      </c>
      <c r="E127" s="6">
        <v>725.7</v>
      </c>
      <c r="F127" s="7" t="s">
        <v>233</v>
      </c>
      <c r="G127" s="8" t="s">
        <v>21</v>
      </c>
      <c r="H127" s="8" t="s">
        <v>21</v>
      </c>
      <c r="I127" s="8" t="s">
        <v>22</v>
      </c>
      <c r="J127" s="6">
        <v>69.400000000000006</v>
      </c>
      <c r="K127" s="6">
        <v>49.7</v>
      </c>
      <c r="L127" s="6">
        <v>27</v>
      </c>
      <c r="M127" s="14" t="s">
        <v>259</v>
      </c>
      <c r="N127" s="10" t="s">
        <v>24</v>
      </c>
      <c r="O127" s="11">
        <f t="shared" si="3"/>
        <v>719.40000000000009</v>
      </c>
    </row>
    <row r="128" spans="1:15" ht="19.5" customHeight="1">
      <c r="A128" s="19" t="s">
        <v>112</v>
      </c>
      <c r="B128" s="4" t="s">
        <v>257</v>
      </c>
      <c r="C128" s="5" t="s">
        <v>261</v>
      </c>
      <c r="D128" s="6">
        <v>14500</v>
      </c>
      <c r="E128" s="6">
        <v>645.5</v>
      </c>
      <c r="F128" s="7" t="s">
        <v>233</v>
      </c>
      <c r="G128" s="8" t="s">
        <v>21</v>
      </c>
      <c r="H128" s="8" t="s">
        <v>21</v>
      </c>
      <c r="I128" s="8" t="s">
        <v>22</v>
      </c>
      <c r="J128" s="6">
        <v>63.4</v>
      </c>
      <c r="K128" s="6">
        <v>38.200000000000003</v>
      </c>
      <c r="L128" s="6">
        <v>16.2</v>
      </c>
      <c r="M128" s="14" t="s">
        <v>259</v>
      </c>
      <c r="N128" s="10" t="s">
        <v>24</v>
      </c>
      <c r="O128" s="11">
        <f t="shared" si="3"/>
        <v>552.19999999999993</v>
      </c>
    </row>
    <row r="129" spans="1:15" ht="19.5" customHeight="1">
      <c r="A129" s="19" t="s">
        <v>112</v>
      </c>
      <c r="B129" s="4" t="s">
        <v>257</v>
      </c>
      <c r="C129" s="5" t="s">
        <v>262</v>
      </c>
      <c r="D129" s="6">
        <v>8500</v>
      </c>
      <c r="E129" s="6">
        <v>287.60000000000002</v>
      </c>
      <c r="F129" s="7" t="s">
        <v>233</v>
      </c>
      <c r="G129" s="8" t="s">
        <v>21</v>
      </c>
      <c r="H129" s="8" t="s">
        <v>21</v>
      </c>
      <c r="I129" s="8" t="s">
        <v>22</v>
      </c>
      <c r="J129" s="6">
        <v>23.9</v>
      </c>
      <c r="K129" s="6">
        <v>20.5</v>
      </c>
      <c r="L129" s="6">
        <v>12.2</v>
      </c>
      <c r="M129" s="14" t="s">
        <v>259</v>
      </c>
      <c r="N129" s="10" t="s">
        <v>24</v>
      </c>
      <c r="O129" s="11">
        <f t="shared" si="3"/>
        <v>287.39999999999998</v>
      </c>
    </row>
    <row r="130" spans="1:15" ht="19.5" customHeight="1">
      <c r="A130" s="19" t="s">
        <v>112</v>
      </c>
      <c r="B130" s="4" t="s">
        <v>257</v>
      </c>
      <c r="C130" s="5" t="s">
        <v>263</v>
      </c>
      <c r="D130" s="6">
        <v>16900</v>
      </c>
      <c r="E130" s="6">
        <v>750.9</v>
      </c>
      <c r="F130" s="7" t="s">
        <v>233</v>
      </c>
      <c r="G130" s="8" t="s">
        <v>21</v>
      </c>
      <c r="H130" s="8" t="s">
        <v>21</v>
      </c>
      <c r="I130" s="8" t="s">
        <v>22</v>
      </c>
      <c r="J130" s="6">
        <v>69.400000000000006</v>
      </c>
      <c r="K130" s="6">
        <v>56.2</v>
      </c>
      <c r="L130" s="6">
        <v>32.4</v>
      </c>
      <c r="M130" s="14" t="s">
        <v>259</v>
      </c>
      <c r="N130" s="10" t="s">
        <v>24</v>
      </c>
      <c r="O130" s="11">
        <f t="shared" si="3"/>
        <v>794</v>
      </c>
    </row>
    <row r="131" spans="1:15" ht="19.5" customHeight="1">
      <c r="A131" s="19" t="s">
        <v>112</v>
      </c>
      <c r="B131" s="4" t="s">
        <v>264</v>
      </c>
      <c r="C131" s="5" t="s">
        <v>265</v>
      </c>
      <c r="D131" s="6">
        <v>16900</v>
      </c>
      <c r="E131" s="6">
        <v>750.9</v>
      </c>
      <c r="F131" s="7" t="s">
        <v>233</v>
      </c>
      <c r="G131" s="8" t="s">
        <v>21</v>
      </c>
      <c r="H131" s="8" t="s">
        <v>21</v>
      </c>
      <c r="I131" s="8" t="s">
        <v>22</v>
      </c>
      <c r="J131" s="6">
        <v>69.400000000000006</v>
      </c>
      <c r="K131" s="6">
        <v>56.2</v>
      </c>
      <c r="L131" s="6">
        <v>32.4</v>
      </c>
      <c r="M131" s="14" t="s">
        <v>259</v>
      </c>
      <c r="N131" s="10" t="s">
        <v>24</v>
      </c>
      <c r="O131" s="11">
        <f t="shared" ref="O131" si="4">J131*4+K131*4+L131*9</f>
        <v>794</v>
      </c>
    </row>
  </sheetData>
  <autoFilter ref="A3:O130" xr:uid="{00000000-0009-0000-0000-000000000000}"/>
  <mergeCells count="1">
    <mergeCell ref="A1:O1"/>
  </mergeCells>
  <phoneticPr fontId="7" type="noConversion"/>
  <conditionalFormatting sqref="O4:O131">
    <cfRule type="expression" dxfId="0" priority="2">
      <formula>ABS(O4-E4)/E4&gt;0.15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용산 인근 50개 식당 메뉴 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이종후</cp:lastModifiedBy>
  <cp:revision>0</cp:revision>
  <dcterms:created xsi:type="dcterms:W3CDTF">2026-10-02T13:06:05Z</dcterms:created>
  <dcterms:modified xsi:type="dcterms:W3CDTF">2026-10-06T06:34:44Z</dcterms:modified>
  <dc:language>en-US</dc:language>
</cp:coreProperties>
</file>